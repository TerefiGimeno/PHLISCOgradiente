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PHLISCOgradiente/gradienteData/alturas_individuos/"/>
    </mc:Choice>
  </mc:AlternateContent>
  <xr:revisionPtr revIDLastSave="56" documentId="13_ncr:1_{EEAEAA01-5298-4C4A-897B-9738D05DBDE6}" xr6:coauthVersionLast="47" xr6:coauthVersionMax="47" xr10:uidLastSave="{2CC88AA7-B074-4B3B-92AE-1A3B01F109E1}"/>
  <bookViews>
    <workbookView xWindow="-120" yWindow="-120" windowWidth="29040" windowHeight="15840" xr2:uid="{65EDF863-744C-4BCD-B70F-E72AA507ED31}"/>
  </bookViews>
  <sheets>
    <sheet name="Sheet1" sheetId="1" r:id="rId1"/>
  </sheets>
  <definedNames>
    <definedName name="_xlnm._FilterDatabase" localSheetId="0" hidden="1">Sheet1!$A$1:$N$31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M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M3" i="1" s="1"/>
  <c r="I4" i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I2" i="1"/>
  <c r="M2" i="1" s="1"/>
</calcChain>
</file>

<file path=xl/sharedStrings.xml><?xml version="1.0" encoding="utf-8"?>
<sst xmlns="http://schemas.openxmlformats.org/spreadsheetml/2006/main" count="50" uniqueCount="20">
  <si>
    <t>Despejada</t>
  </si>
  <si>
    <t>Sombreada</t>
  </si>
  <si>
    <t>observacion clinometro (%)</t>
  </si>
  <si>
    <t>observacion 2 clinometro (%)</t>
  </si>
  <si>
    <t>observaciones</t>
  </si>
  <si>
    <t>observacion 2 clinometro (⁰)</t>
  </si>
  <si>
    <r>
      <t>observacion clinometro (</t>
    </r>
    <r>
      <rPr>
        <b/>
        <sz val="11"/>
        <color theme="1"/>
        <rFont val="Calibri"/>
        <family val="2"/>
      </rPr>
      <t>⁰)</t>
    </r>
  </si>
  <si>
    <t>perimetro (m)</t>
  </si>
  <si>
    <t>distancia al arbol (m)</t>
  </si>
  <si>
    <t>id_plant</t>
  </si>
  <si>
    <t>altura a los ojos (m)</t>
  </si>
  <si>
    <t>altura (m)</t>
  </si>
  <si>
    <r>
      <t>observacion clinometro (rad</t>
    </r>
    <r>
      <rPr>
        <b/>
        <sz val="11"/>
        <color theme="1"/>
        <rFont val="Calibri"/>
        <family val="2"/>
      </rPr>
      <t>)</t>
    </r>
  </si>
  <si>
    <r>
      <t>observacion clinometro2 (rad</t>
    </r>
    <r>
      <rPr>
        <b/>
        <sz val="11"/>
        <color theme="1"/>
        <rFont val="Calibri"/>
        <family val="2"/>
      </rPr>
      <t>)</t>
    </r>
  </si>
  <si>
    <t>Sitio</t>
  </si>
  <si>
    <t>ms</t>
  </si>
  <si>
    <t>itu</t>
  </si>
  <si>
    <t>art</t>
  </si>
  <si>
    <t>ber</t>
  </si>
  <si>
    <t>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</si>
</sst>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2" fontId="3" fillId="0" borderId="0" xfId="0" applyNumberFormat="1" applyFont="1"/>
    <xf numFmtId="2" fontId="4" fillId="0" borderId="0" xfId="0" applyNumberFormat="1" applyFont="1"/>
    <xf numFmtId="0" fontId="0" fillId="0" borderId="0" xfId="0" applyFont="1"/>
    <xf numFmtId="0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Sheet1!$A$2:$A$31</c:f>
              <c:strCache>
                <c:ptCount val="30"/>
                <c:pt idx="0">
                  <c:v>ms</c:v>
                </c:pt>
                <c:pt idx="1">
                  <c:v>ms</c:v>
                </c:pt>
                <c:pt idx="2">
                  <c:v>ms</c:v>
                </c:pt>
                <c:pt idx="3">
                  <c:v>ms</c:v>
                </c:pt>
                <c:pt idx="4">
                  <c:v>ms</c:v>
                </c:pt>
                <c:pt idx="5">
                  <c:v>ms</c:v>
                </c:pt>
                <c:pt idx="6">
                  <c:v>ms</c:v>
                </c:pt>
                <c:pt idx="7">
                  <c:v>itu</c:v>
                </c:pt>
                <c:pt idx="8">
                  <c:v>itu</c:v>
                </c:pt>
                <c:pt idx="9">
                  <c:v>itu</c:v>
                </c:pt>
                <c:pt idx="10">
                  <c:v>itu</c:v>
                </c:pt>
                <c:pt idx="11">
                  <c:v>itu</c:v>
                </c:pt>
                <c:pt idx="12">
                  <c:v>itu</c:v>
                </c:pt>
                <c:pt idx="13">
                  <c:v>art</c:v>
                </c:pt>
                <c:pt idx="14">
                  <c:v>art</c:v>
                </c:pt>
                <c:pt idx="15">
                  <c:v>art</c:v>
                </c:pt>
                <c:pt idx="16">
                  <c:v>art</c:v>
                </c:pt>
                <c:pt idx="17">
                  <c:v>art</c:v>
                </c:pt>
                <c:pt idx="18">
                  <c:v>ber</c:v>
                </c:pt>
                <c:pt idx="19">
                  <c:v>ber</c:v>
                </c:pt>
                <c:pt idx="20">
                  <c:v>ber</c:v>
                </c:pt>
                <c:pt idx="21">
                  <c:v>ber</c:v>
                </c:pt>
                <c:pt idx="22">
                  <c:v>ber</c:v>
                </c:pt>
                <c:pt idx="23">
                  <c:v>ber</c:v>
                </c:pt>
                <c:pt idx="24">
                  <c:v>diu</c:v>
                </c:pt>
                <c:pt idx="25">
                  <c:v>diu</c:v>
                </c:pt>
                <c:pt idx="26">
                  <c:v>diu</c:v>
                </c:pt>
                <c:pt idx="27">
                  <c:v>diu</c:v>
                </c:pt>
                <c:pt idx="28">
                  <c:v>diu</c:v>
                </c:pt>
                <c:pt idx="29">
                  <c:v>diu</c:v>
                </c:pt>
              </c:strCache>
            </c:strRef>
          </c:cat>
          <c:val>
            <c:numRef>
              <c:f>Sheet1!$M$2:$M$31</c:f>
              <c:numCache>
                <c:formatCode>0.00</c:formatCode>
                <c:ptCount val="30"/>
                <c:pt idx="0">
                  <c:v>19.211376798104549</c:v>
                </c:pt>
                <c:pt idx="1">
                  <c:v>17.950685397713244</c:v>
                </c:pt>
                <c:pt idx="2">
                  <c:v>16.409221500569753</c:v>
                </c:pt>
                <c:pt idx="3">
                  <c:v>17.615835278785902</c:v>
                </c:pt>
                <c:pt idx="4">
                  <c:v>21.209127912476387</c:v>
                </c:pt>
                <c:pt idx="5">
                  <c:v>17.615835278785902</c:v>
                </c:pt>
                <c:pt idx="6">
                  <c:v>10.009012125690015</c:v>
                </c:pt>
                <c:pt idx="7">
                  <c:v>22.610013924279787</c:v>
                </c:pt>
                <c:pt idx="8">
                  <c:v>26.609828487597905</c:v>
                </c:pt>
                <c:pt idx="9">
                  <c:v>22.610013924279787</c:v>
                </c:pt>
                <c:pt idx="10">
                  <c:v>23.612846031939632</c:v>
                </c:pt>
                <c:pt idx="11">
                  <c:v>31.610076605929493</c:v>
                </c:pt>
                <c:pt idx="12">
                  <c:v>29.607600749720511</c:v>
                </c:pt>
                <c:pt idx="13">
                  <c:v>25.997809863990216</c:v>
                </c:pt>
                <c:pt idx="14">
                  <c:v>29.208481770801129</c:v>
                </c:pt>
                <c:pt idx="15">
                  <c:v>37.20867885810263</c:v>
                </c:pt>
                <c:pt idx="16">
                  <c:v>37.20867885810263</c:v>
                </c:pt>
                <c:pt idx="17">
                  <c:v>31.610076605929493</c:v>
                </c:pt>
                <c:pt idx="18">
                  <c:v>7.7997910334390959</c:v>
                </c:pt>
                <c:pt idx="19">
                  <c:v>3.0021775345098267</c:v>
                </c:pt>
                <c:pt idx="20">
                  <c:v>3.6039570666590484</c:v>
                </c:pt>
                <c:pt idx="21">
                  <c:v>27.00034986675589</c:v>
                </c:pt>
                <c:pt idx="22">
                  <c:v>27.205115399218691</c:v>
                </c:pt>
                <c:pt idx="23">
                  <c:v>23.999145554882745</c:v>
                </c:pt>
                <c:pt idx="24">
                  <c:v>18.002339016975082</c:v>
                </c:pt>
                <c:pt idx="25">
                  <c:v>14.000032034173797</c:v>
                </c:pt>
                <c:pt idx="26">
                  <c:v>9.0000385113352017</c:v>
                </c:pt>
                <c:pt idx="27">
                  <c:v>21.996437271848585</c:v>
                </c:pt>
                <c:pt idx="28">
                  <c:v>25.598690885070834</c:v>
                </c:pt>
                <c:pt idx="29">
                  <c:v>31.610076605929493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9-4146-B900-E443D7914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51056"/>
        <c:axId val="837721504"/>
      </c:barChart>
      <c:catAx>
        <c:axId val="8391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721504"/>
        <c:crosses val="autoZero"/>
        <c:auto val="1"/>
        <c:lblAlgn val="ctr"/>
        <c:lblOffset val="100"/>
        <c:noMultiLvlLbl val="0"/>
      </c:catAx>
      <c:valAx>
        <c:axId val="8377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1470025</xdr:colOff>
      <xdr:row>34</xdr:row>
      <xdr:rowOff>6350</xdr:rowOff>
    </xdr:from>
    <xdr:to>
      <xdr:col>8</xdr:col>
      <xdr:colOff>946150</xdr:colOff>
      <xdr:row>48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C583D-D42C-4036-A8C6-55A2D4754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A0D0-FB25-46C8-A6BF-8AC8822E85C0}">
  <dimension ref="A1:N31"/>
  <sheetViews>
    <sheetView tabSelected="1" workbookViewId="0">
      <pane ySplit="1" topLeftCell="A2" activePane="bottomLeft" state="frozen"/>
      <selection pane="bottomLeft" activeCell="M2" sqref="M2:M31"/>
    </sheetView>
  </sheetViews>
  <sheetFormatPr defaultRowHeight="15" x14ac:dyDescent="0.25"/>
  <cols>
    <col min="1" max="1" width="14" bestFit="1" customWidth="1"/>
    <col min="2" max="2" width="3.28515625" customWidth="1"/>
    <col min="3" max="3" width="12.5703125" bestFit="1" customWidth="1"/>
    <col min="4" max="4" width="12.5703125" customWidth="1"/>
    <col min="5" max="5" width="23.85546875" bestFit="1" customWidth="1"/>
    <col min="6" max="6" width="25.42578125" bestFit="1" customWidth="1"/>
    <col min="7" max="7" width="23.28515625" bestFit="1" customWidth="1"/>
    <col min="8" max="8" width="24.7109375" bestFit="1" customWidth="1"/>
    <col min="9" max="9" width="25.42578125" bestFit="1" customWidth="1"/>
    <col min="10" max="10" width="26.42578125" bestFit="1" customWidth="1"/>
    <col min="11" max="11" width="6.42578125" customWidth="1"/>
    <col min="12" max="12" width="7" customWidth="1"/>
    <col min="13" max="13" width="9.140625" bestFit="1" customWidth="1"/>
    <col min="14" max="14" width="12.7109375" bestFit="1" customWidth="1"/>
  </cols>
  <sheetData>
    <row r="1" spans="1:14" x14ac:dyDescent="0.25">
      <c r="A1" s="1" t="s">
        <v>14</v>
      </c>
      <c r="B1" s="1" t="s">
        <v>9</v>
      </c>
      <c r="C1" s="1" t="s">
        <v>7</v>
      </c>
      <c r="D1" s="1"/>
      <c r="E1" s="1" t="s">
        <v>2</v>
      </c>
      <c r="F1" s="1" t="s">
        <v>3</v>
      </c>
      <c r="G1" s="1" t="s">
        <v>6</v>
      </c>
      <c r="H1" s="1" t="s">
        <v>5</v>
      </c>
      <c r="I1" s="1" t="s">
        <v>12</v>
      </c>
      <c r="J1" s="1" t="s">
        <v>13</v>
      </c>
      <c r="K1" s="1" t="s">
        <v>8</v>
      </c>
      <c r="L1" s="1" t="s">
        <v>10</v>
      </c>
      <c r="M1" s="1" t="s">
        <v>11</v>
      </c>
      <c r="N1" s="1" t="s">
        <v>4</v>
      </c>
    </row>
    <row r="2" spans="1:14" x14ac:dyDescent="0.25">
      <c r="A2" t="s">
        <v>15</v>
      </c>
      <c r="B2">
        <v>1</v>
      </c>
      <c r="C2">
        <v>2.17</v>
      </c>
      <c r="D2">
        <f>C2*100/PI()</f>
        <v>69.073245301882579</v>
      </c>
      <c r="E2">
        <v>88</v>
      </c>
      <c r="G2" s="2">
        <v>41.35</v>
      </c>
      <c r="H2">
        <v>0</v>
      </c>
      <c r="I2" s="2">
        <f>RADIANS(G2)</f>
        <v>0.72169364569965533</v>
      </c>
      <c r="J2">
        <f>RADIANS(H2)</f>
        <v>0</v>
      </c>
      <c r="K2">
        <v>20</v>
      </c>
      <c r="L2">
        <v>1.61</v>
      </c>
      <c r="M2" s="2">
        <f>((TAN(I2)-(TAN(J2)))*K2)+L2</f>
        <v>19.211376798104549</v>
      </c>
      <c r="N2" t="s">
        <v>0</v>
      </c>
    </row>
    <row r="3" spans="1:14" x14ac:dyDescent="0.25">
      <c r="A3" t="s">
        <v>15</v>
      </c>
      <c r="B3">
        <v>2</v>
      </c>
      <c r="C3">
        <v>1.84</v>
      </c>
      <c r="D3">
        <f t="shared" ref="D3:D31" si="0">C3*100/PI()</f>
        <v>58.569019057817485</v>
      </c>
      <c r="E3">
        <v>82</v>
      </c>
      <c r="F3">
        <v>84</v>
      </c>
      <c r="G3" s="2">
        <v>39.25</v>
      </c>
      <c r="H3">
        <v>0</v>
      </c>
      <c r="I3" s="2">
        <f t="shared" ref="I3:I31" si="1">RADIANS(G3)</f>
        <v>0.68504173140777436</v>
      </c>
      <c r="J3">
        <f t="shared" ref="J3:J31" si="2">RADIANS(H3)</f>
        <v>0</v>
      </c>
      <c r="K3">
        <v>20</v>
      </c>
      <c r="L3">
        <v>1.61</v>
      </c>
      <c r="M3" s="2">
        <f t="shared" ref="M3:M31" si="3">((TAN(I3)-(TAN(J3)))*K3)+L3</f>
        <v>17.950685397713244</v>
      </c>
      <c r="N3" t="s">
        <v>1</v>
      </c>
    </row>
    <row r="4" spans="1:14" x14ac:dyDescent="0.25">
      <c r="A4" t="s">
        <v>15</v>
      </c>
      <c r="B4">
        <v>3</v>
      </c>
      <c r="C4">
        <v>2.16</v>
      </c>
      <c r="D4">
        <f t="shared" si="0"/>
        <v>68.754935415698782</v>
      </c>
      <c r="E4">
        <v>74</v>
      </c>
      <c r="G4" s="2">
        <v>36.5</v>
      </c>
      <c r="H4">
        <v>0</v>
      </c>
      <c r="I4" s="2">
        <f t="shared" si="1"/>
        <v>0.63704517697793028</v>
      </c>
      <c r="J4">
        <f t="shared" si="2"/>
        <v>0</v>
      </c>
      <c r="K4">
        <v>20</v>
      </c>
      <c r="L4">
        <v>1.61</v>
      </c>
      <c r="M4" s="2">
        <f t="shared" si="3"/>
        <v>16.409221500569753</v>
      </c>
      <c r="N4" t="s">
        <v>1</v>
      </c>
    </row>
    <row r="5" spans="1:14" x14ac:dyDescent="0.25">
      <c r="A5" t="s">
        <v>15</v>
      </c>
      <c r="B5">
        <v>4</v>
      </c>
      <c r="C5">
        <v>1.92</v>
      </c>
      <c r="D5">
        <f t="shared" si="0"/>
        <v>61.115498147287809</v>
      </c>
      <c r="E5">
        <v>80</v>
      </c>
      <c r="G5" s="2">
        <v>38.67</v>
      </c>
      <c r="H5">
        <v>0</v>
      </c>
      <c r="I5" s="2">
        <f t="shared" si="1"/>
        <v>0.67491882174620732</v>
      </c>
      <c r="J5">
        <f t="shared" si="2"/>
        <v>0</v>
      </c>
      <c r="K5">
        <v>20</v>
      </c>
      <c r="L5">
        <v>1.61</v>
      </c>
      <c r="M5" s="2">
        <f t="shared" si="3"/>
        <v>17.615835278785902</v>
      </c>
      <c r="N5" t="s">
        <v>1</v>
      </c>
    </row>
    <row r="6" spans="1:14" x14ac:dyDescent="0.25">
      <c r="A6" t="s">
        <v>15</v>
      </c>
      <c r="B6">
        <v>5</v>
      </c>
      <c r="C6">
        <v>2.0299999999999998</v>
      </c>
      <c r="D6">
        <f t="shared" si="0"/>
        <v>64.616906895309498</v>
      </c>
      <c r="E6">
        <v>98</v>
      </c>
      <c r="G6" s="2">
        <v>44.42</v>
      </c>
      <c r="H6">
        <v>0</v>
      </c>
      <c r="I6" s="2">
        <f t="shared" si="1"/>
        <v>0.77527525373588124</v>
      </c>
      <c r="J6">
        <f t="shared" si="2"/>
        <v>0</v>
      </c>
      <c r="K6">
        <v>20</v>
      </c>
      <c r="L6">
        <v>1.61</v>
      </c>
      <c r="M6" s="2">
        <f t="shared" si="3"/>
        <v>21.209127912476387</v>
      </c>
      <c r="N6" t="s">
        <v>0</v>
      </c>
    </row>
    <row r="7" spans="1:14" x14ac:dyDescent="0.25">
      <c r="A7" t="s">
        <v>15</v>
      </c>
      <c r="B7">
        <v>6</v>
      </c>
      <c r="C7">
        <v>2.4300000000000002</v>
      </c>
      <c r="D7">
        <f t="shared" si="0"/>
        <v>77.349302342661147</v>
      </c>
      <c r="E7">
        <v>80</v>
      </c>
      <c r="G7" s="2">
        <v>38.67</v>
      </c>
      <c r="H7">
        <v>0</v>
      </c>
      <c r="I7" s="2">
        <f t="shared" si="1"/>
        <v>0.67491882174620732</v>
      </c>
      <c r="J7">
        <f t="shared" si="2"/>
        <v>0</v>
      </c>
      <c r="K7">
        <v>20</v>
      </c>
      <c r="L7">
        <v>1.61</v>
      </c>
      <c r="M7" s="2">
        <f t="shared" si="3"/>
        <v>17.615835278785902</v>
      </c>
      <c r="N7" t="s">
        <v>0</v>
      </c>
    </row>
    <row r="8" spans="1:14" x14ac:dyDescent="0.25">
      <c r="A8" t="s">
        <v>15</v>
      </c>
      <c r="B8">
        <v>7</v>
      </c>
      <c r="C8">
        <v>1.3</v>
      </c>
      <c r="D8">
        <f t="shared" si="0"/>
        <v>41.38028520389279</v>
      </c>
      <c r="E8">
        <v>42</v>
      </c>
      <c r="G8" s="2">
        <v>22.78</v>
      </c>
      <c r="H8">
        <v>0</v>
      </c>
      <c r="I8" s="2">
        <f t="shared" si="1"/>
        <v>0.39758600360430829</v>
      </c>
      <c r="J8">
        <f t="shared" si="2"/>
        <v>0</v>
      </c>
      <c r="K8">
        <v>20</v>
      </c>
      <c r="L8">
        <v>1.61</v>
      </c>
      <c r="M8" s="2">
        <f t="shared" si="3"/>
        <v>10.009012125690015</v>
      </c>
      <c r="N8" t="s">
        <v>0</v>
      </c>
    </row>
    <row r="9" spans="1:14" x14ac:dyDescent="0.25">
      <c r="A9" s="3" t="s">
        <v>16</v>
      </c>
      <c r="B9" s="4">
        <v>1</v>
      </c>
      <c r="C9" s="5">
        <v>45109</v>
      </c>
      <c r="D9">
        <f t="shared" si="0"/>
        <v>1435864.0655864615</v>
      </c>
      <c r="E9" s="6">
        <v>105</v>
      </c>
      <c r="G9" s="8">
        <v>46.397199999999998</v>
      </c>
      <c r="H9">
        <v>0</v>
      </c>
      <c r="I9" s="2">
        <f t="shared" si="1"/>
        <v>0.80978390370631304</v>
      </c>
      <c r="J9">
        <f t="shared" si="2"/>
        <v>0</v>
      </c>
      <c r="K9" s="6">
        <v>20</v>
      </c>
      <c r="L9" s="11">
        <v>1.61</v>
      </c>
      <c r="M9" s="2">
        <f t="shared" si="3"/>
        <v>22.610013924279787</v>
      </c>
    </row>
    <row r="10" spans="1:14" x14ac:dyDescent="0.25">
      <c r="A10" s="3" t="s">
        <v>16</v>
      </c>
      <c r="B10" s="4">
        <v>2</v>
      </c>
      <c r="C10" s="6">
        <v>3.54</v>
      </c>
      <c r="D10">
        <f t="shared" si="0"/>
        <v>112.6816997090619</v>
      </c>
      <c r="E10" s="6">
        <v>125</v>
      </c>
      <c r="G10" s="8">
        <v>51.34</v>
      </c>
      <c r="H10">
        <v>0</v>
      </c>
      <c r="I10" s="2">
        <f t="shared" si="1"/>
        <v>0.89605203797388888</v>
      </c>
      <c r="J10">
        <f t="shared" si="2"/>
        <v>0</v>
      </c>
      <c r="K10" s="6">
        <v>20</v>
      </c>
      <c r="L10" s="11">
        <v>1.61</v>
      </c>
      <c r="M10" s="2">
        <f t="shared" si="3"/>
        <v>26.609828487597905</v>
      </c>
    </row>
    <row r="11" spans="1:14" x14ac:dyDescent="0.25">
      <c r="A11" s="3" t="s">
        <v>16</v>
      </c>
      <c r="B11" s="4">
        <v>3</v>
      </c>
      <c r="C11" s="6">
        <v>2.76</v>
      </c>
      <c r="D11">
        <f t="shared" si="0"/>
        <v>87.853528586726227</v>
      </c>
      <c r="E11" s="6">
        <v>105</v>
      </c>
      <c r="G11" s="8">
        <v>46.397199999999998</v>
      </c>
      <c r="H11">
        <v>0</v>
      </c>
      <c r="I11" s="2">
        <f t="shared" si="1"/>
        <v>0.80978390370631304</v>
      </c>
      <c r="J11">
        <f t="shared" si="2"/>
        <v>0</v>
      </c>
      <c r="K11" s="6">
        <v>20</v>
      </c>
      <c r="L11" s="11">
        <v>1.61</v>
      </c>
      <c r="M11" s="2">
        <f t="shared" si="3"/>
        <v>22.610013924279787</v>
      </c>
    </row>
    <row r="12" spans="1:14" x14ac:dyDescent="0.25">
      <c r="A12" s="3" t="s">
        <v>16</v>
      </c>
      <c r="B12" s="4">
        <v>4</v>
      </c>
      <c r="C12" s="6">
        <v>2.82</v>
      </c>
      <c r="D12">
        <f t="shared" si="0"/>
        <v>89.763387903828971</v>
      </c>
      <c r="E12" s="6">
        <v>110</v>
      </c>
      <c r="G12" s="8">
        <v>47.73</v>
      </c>
      <c r="H12">
        <v>0</v>
      </c>
      <c r="I12" s="2">
        <f t="shared" si="1"/>
        <v>0.8330456519768934</v>
      </c>
      <c r="J12">
        <f t="shared" si="2"/>
        <v>0</v>
      </c>
      <c r="K12" s="6">
        <v>20</v>
      </c>
      <c r="L12" s="11">
        <v>1.61</v>
      </c>
      <c r="M12" s="2">
        <f t="shared" si="3"/>
        <v>23.612846031939632</v>
      </c>
    </row>
    <row r="13" spans="1:14" x14ac:dyDescent="0.25">
      <c r="A13" s="3" t="s">
        <v>16</v>
      </c>
      <c r="B13" s="4">
        <v>5</v>
      </c>
      <c r="C13" s="6">
        <v>2.88</v>
      </c>
      <c r="D13">
        <f t="shared" si="0"/>
        <v>91.673247220931714</v>
      </c>
      <c r="E13" s="6">
        <v>150</v>
      </c>
      <c r="G13" s="8">
        <v>56.31</v>
      </c>
      <c r="H13">
        <v>0</v>
      </c>
      <c r="I13" s="2">
        <f t="shared" si="1"/>
        <v>0.98279490179800699</v>
      </c>
      <c r="J13">
        <f t="shared" si="2"/>
        <v>0</v>
      </c>
      <c r="K13" s="6">
        <v>20</v>
      </c>
      <c r="L13" s="11">
        <v>1.61</v>
      </c>
      <c r="M13" s="2">
        <f t="shared" si="3"/>
        <v>31.610076605929493</v>
      </c>
    </row>
    <row r="14" spans="1:14" x14ac:dyDescent="0.25">
      <c r="A14" s="3" t="s">
        <v>16</v>
      </c>
      <c r="B14" s="4">
        <v>6</v>
      </c>
      <c r="C14" s="6">
        <v>2.86</v>
      </c>
      <c r="D14">
        <f t="shared" si="0"/>
        <v>91.036627448564133</v>
      </c>
      <c r="E14" s="6">
        <v>140</v>
      </c>
      <c r="G14" s="8">
        <v>54.46</v>
      </c>
      <c r="H14">
        <v>0</v>
      </c>
      <c r="I14" s="2">
        <f t="shared" si="1"/>
        <v>0.95050631063611191</v>
      </c>
      <c r="J14">
        <f t="shared" si="2"/>
        <v>0</v>
      </c>
      <c r="K14" s="6">
        <v>20</v>
      </c>
      <c r="L14" s="11">
        <v>1.61</v>
      </c>
      <c r="M14" s="2">
        <f t="shared" si="3"/>
        <v>29.607600749720511</v>
      </c>
    </row>
    <row r="15" spans="1:14" x14ac:dyDescent="0.25">
      <c r="A15" s="3" t="s">
        <v>17</v>
      </c>
      <c r="B15" s="4">
        <v>1</v>
      </c>
      <c r="C15" s="6">
        <v>2.2999999999999998</v>
      </c>
      <c r="D15">
        <f t="shared" si="0"/>
        <v>73.211273822271849</v>
      </c>
      <c r="E15" s="6">
        <v>10</v>
      </c>
      <c r="F15" s="6">
        <v>140</v>
      </c>
      <c r="G15" s="6">
        <v>54.46</v>
      </c>
      <c r="H15" s="8">
        <v>5.71</v>
      </c>
      <c r="I15" s="2">
        <f t="shared" si="1"/>
        <v>0.95050631063611191</v>
      </c>
      <c r="J15">
        <f t="shared" si="2"/>
        <v>9.965830028887622E-2</v>
      </c>
      <c r="K15" s="6">
        <v>20</v>
      </c>
      <c r="L15" s="7">
        <v>0</v>
      </c>
      <c r="M15" s="2">
        <f t="shared" si="3"/>
        <v>25.997809863990216</v>
      </c>
    </row>
    <row r="16" spans="1:14" x14ac:dyDescent="0.25">
      <c r="A16" s="3" t="s">
        <v>17</v>
      </c>
      <c r="B16" s="4">
        <v>2</v>
      </c>
      <c r="C16" s="6">
        <v>1.8</v>
      </c>
      <c r="D16">
        <f t="shared" si="0"/>
        <v>57.295779513082323</v>
      </c>
      <c r="E16" s="6">
        <v>138</v>
      </c>
      <c r="G16" s="8">
        <v>54.07</v>
      </c>
      <c r="H16">
        <v>0</v>
      </c>
      <c r="I16" s="2">
        <f t="shared" si="1"/>
        <v>0.943699526553334</v>
      </c>
      <c r="J16">
        <f t="shared" si="2"/>
        <v>0</v>
      </c>
      <c r="K16" s="6">
        <v>20</v>
      </c>
      <c r="L16" s="11">
        <v>1.61</v>
      </c>
      <c r="M16" s="2">
        <f t="shared" si="3"/>
        <v>29.208481770801129</v>
      </c>
    </row>
    <row r="17" spans="1:13" x14ac:dyDescent="0.25">
      <c r="A17" s="3" t="s">
        <v>17</v>
      </c>
      <c r="B17" s="4">
        <v>3</v>
      </c>
      <c r="C17" s="6">
        <v>2.65</v>
      </c>
      <c r="D17">
        <f t="shared" si="0"/>
        <v>84.352119838704525</v>
      </c>
      <c r="E17" s="6">
        <v>14</v>
      </c>
      <c r="F17" s="6">
        <v>200</v>
      </c>
      <c r="G17" s="6">
        <v>63.44</v>
      </c>
      <c r="H17" s="8">
        <v>7.97</v>
      </c>
      <c r="I17" s="2">
        <f t="shared" si="1"/>
        <v>1.1072368774652026</v>
      </c>
      <c r="J17">
        <f t="shared" si="2"/>
        <v>0.13910274138394807</v>
      </c>
      <c r="K17" s="6">
        <v>20</v>
      </c>
      <c r="L17" s="7">
        <v>0</v>
      </c>
      <c r="M17" s="2">
        <f t="shared" si="3"/>
        <v>37.20867885810263</v>
      </c>
    </row>
    <row r="18" spans="1:13" x14ac:dyDescent="0.25">
      <c r="A18" s="3" t="s">
        <v>17</v>
      </c>
      <c r="B18" s="4">
        <v>6</v>
      </c>
      <c r="C18" s="6">
        <v>2</v>
      </c>
      <c r="D18">
        <f t="shared" si="0"/>
        <v>63.661977236758133</v>
      </c>
      <c r="E18" s="6">
        <v>14</v>
      </c>
      <c r="F18" s="6">
        <v>200</v>
      </c>
      <c r="G18" s="6">
        <v>63.44</v>
      </c>
      <c r="H18" s="9">
        <v>7.97</v>
      </c>
      <c r="I18" s="2">
        <f t="shared" si="1"/>
        <v>1.1072368774652026</v>
      </c>
      <c r="J18">
        <f t="shared" si="2"/>
        <v>0.13910274138394807</v>
      </c>
      <c r="K18" s="6">
        <v>20</v>
      </c>
      <c r="L18" s="7">
        <v>0</v>
      </c>
      <c r="M18" s="2">
        <f t="shared" si="3"/>
        <v>37.20867885810263</v>
      </c>
    </row>
    <row r="19" spans="1:13" x14ac:dyDescent="0.25">
      <c r="A19" s="3" t="s">
        <v>17</v>
      </c>
      <c r="B19" s="4">
        <v>4</v>
      </c>
      <c r="C19" s="6">
        <v>2.8</v>
      </c>
      <c r="D19">
        <f t="shared" si="0"/>
        <v>89.12676813146139</v>
      </c>
      <c r="E19" s="6">
        <v>150</v>
      </c>
      <c r="G19" s="9">
        <v>56.31</v>
      </c>
      <c r="H19" s="10">
        <v>0</v>
      </c>
      <c r="I19" s="2">
        <f t="shared" si="1"/>
        <v>0.98279490179800699</v>
      </c>
      <c r="J19">
        <f t="shared" si="2"/>
        <v>0</v>
      </c>
      <c r="K19" s="6">
        <v>20</v>
      </c>
      <c r="L19" s="11">
        <v>1.61</v>
      </c>
      <c r="M19" s="2">
        <f t="shared" si="3"/>
        <v>31.610076605929493</v>
      </c>
    </row>
    <row r="20" spans="1:13" x14ac:dyDescent="0.25">
      <c r="A20" s="3" t="s">
        <v>18</v>
      </c>
      <c r="B20" s="4">
        <v>1</v>
      </c>
      <c r="C20" s="6">
        <v>2.76</v>
      </c>
      <c r="D20">
        <f t="shared" si="0"/>
        <v>87.853528586726227</v>
      </c>
      <c r="E20" s="6">
        <v>28</v>
      </c>
      <c r="F20" s="6">
        <v>67</v>
      </c>
      <c r="G20" s="6">
        <v>33.82</v>
      </c>
      <c r="H20" s="9">
        <v>15.64</v>
      </c>
      <c r="I20" s="2">
        <f t="shared" si="1"/>
        <v>0.59027035302448227</v>
      </c>
      <c r="J20">
        <f t="shared" si="2"/>
        <v>0.27296949501191314</v>
      </c>
      <c r="K20" s="6">
        <v>20</v>
      </c>
      <c r="L20" s="7">
        <v>0</v>
      </c>
      <c r="M20" s="2">
        <f t="shared" si="3"/>
        <v>7.7997910334390959</v>
      </c>
    </row>
    <row r="21" spans="1:13" x14ac:dyDescent="0.25">
      <c r="A21" s="3" t="s">
        <v>18</v>
      </c>
      <c r="B21" s="4">
        <v>2</v>
      </c>
      <c r="C21" s="6">
        <v>3.7</v>
      </c>
      <c r="D21">
        <f t="shared" si="0"/>
        <v>117.77465788800255</v>
      </c>
      <c r="E21" s="6">
        <v>35</v>
      </c>
      <c r="F21" s="6">
        <v>50</v>
      </c>
      <c r="G21" s="6">
        <v>26.57</v>
      </c>
      <c r="H21" s="9">
        <v>19.29</v>
      </c>
      <c r="I21" s="2">
        <f t="shared" si="1"/>
        <v>0.46373398225489337</v>
      </c>
      <c r="J21">
        <f t="shared" si="2"/>
        <v>0.33667401270970615</v>
      </c>
      <c r="K21" s="6">
        <v>20</v>
      </c>
      <c r="L21" s="7">
        <v>0</v>
      </c>
      <c r="M21" s="2">
        <f t="shared" si="3"/>
        <v>3.0021775345098267</v>
      </c>
    </row>
    <row r="22" spans="1:13" x14ac:dyDescent="0.25">
      <c r="A22" s="3" t="s">
        <v>18</v>
      </c>
      <c r="B22" s="4">
        <v>3</v>
      </c>
      <c r="C22" s="6">
        <v>2.9</v>
      </c>
      <c r="D22">
        <f t="shared" si="0"/>
        <v>92.309866993299295</v>
      </c>
      <c r="E22" s="6">
        <v>32</v>
      </c>
      <c r="F22" s="6">
        <v>50</v>
      </c>
      <c r="G22" s="6">
        <v>26.57</v>
      </c>
      <c r="H22" s="9">
        <v>17.739999999999998</v>
      </c>
      <c r="I22" s="2">
        <f t="shared" si="1"/>
        <v>0.46373398225489337</v>
      </c>
      <c r="J22">
        <f t="shared" si="2"/>
        <v>0.30962140930379406</v>
      </c>
      <c r="K22" s="6">
        <v>20</v>
      </c>
      <c r="L22" s="7">
        <v>0</v>
      </c>
      <c r="M22" s="2">
        <f t="shared" si="3"/>
        <v>3.6039570666590484</v>
      </c>
    </row>
    <row r="23" spans="1:13" x14ac:dyDescent="0.25">
      <c r="A23" s="3" t="s">
        <v>18</v>
      </c>
      <c r="B23" s="4">
        <v>4</v>
      </c>
      <c r="C23" s="6">
        <v>3.5</v>
      </c>
      <c r="D23">
        <f t="shared" si="0"/>
        <v>111.40846016432674</v>
      </c>
      <c r="E23" s="6">
        <v>15</v>
      </c>
      <c r="F23" s="6">
        <v>150</v>
      </c>
      <c r="G23" s="6">
        <v>56.31</v>
      </c>
      <c r="H23" s="9">
        <v>8.5299999999999994</v>
      </c>
      <c r="I23" s="2">
        <f t="shared" si="1"/>
        <v>0.98279490179800699</v>
      </c>
      <c r="J23">
        <f t="shared" si="2"/>
        <v>0.14887658519511629</v>
      </c>
      <c r="K23" s="6">
        <v>20</v>
      </c>
      <c r="L23" s="7">
        <v>0</v>
      </c>
      <c r="M23" s="2">
        <f t="shared" si="3"/>
        <v>27.00034986675589</v>
      </c>
    </row>
    <row r="24" spans="1:13" x14ac:dyDescent="0.25">
      <c r="A24" s="3" t="s">
        <v>18</v>
      </c>
      <c r="B24" s="4">
        <v>5</v>
      </c>
      <c r="C24" s="6">
        <v>5.5</v>
      </c>
      <c r="D24">
        <f t="shared" si="0"/>
        <v>175.07043740108489</v>
      </c>
      <c r="E24" s="6">
        <v>24</v>
      </c>
      <c r="F24" s="6">
        <v>160</v>
      </c>
      <c r="G24" s="6">
        <v>58</v>
      </c>
      <c r="H24" s="9">
        <v>13.5</v>
      </c>
      <c r="I24" s="2">
        <f t="shared" si="1"/>
        <v>1.0122909661567112</v>
      </c>
      <c r="J24">
        <f t="shared" si="2"/>
        <v>0.23561944901923448</v>
      </c>
      <c r="K24" s="6">
        <v>20</v>
      </c>
      <c r="L24" s="7">
        <v>0</v>
      </c>
      <c r="M24" s="2">
        <f t="shared" si="3"/>
        <v>27.205115399218691</v>
      </c>
    </row>
    <row r="25" spans="1:13" x14ac:dyDescent="0.25">
      <c r="A25" s="3" t="s">
        <v>18</v>
      </c>
      <c r="B25" s="4">
        <v>6</v>
      </c>
      <c r="C25" s="6">
        <v>4.0999999999999996</v>
      </c>
      <c r="D25">
        <f t="shared" si="0"/>
        <v>130.50705333535416</v>
      </c>
      <c r="E25" s="6">
        <v>15</v>
      </c>
      <c r="F25" s="6">
        <v>135</v>
      </c>
      <c r="G25" s="6">
        <v>53.47</v>
      </c>
      <c r="H25" s="9">
        <v>8.5299999999999994</v>
      </c>
      <c r="I25" s="2">
        <f t="shared" si="1"/>
        <v>0.93322755104136801</v>
      </c>
      <c r="J25">
        <f t="shared" si="2"/>
        <v>0.14887658519511629</v>
      </c>
      <c r="K25" s="6">
        <v>20</v>
      </c>
      <c r="L25" s="7">
        <v>0</v>
      </c>
      <c r="M25" s="2">
        <f t="shared" si="3"/>
        <v>23.999145554882745</v>
      </c>
    </row>
    <row r="26" spans="1:13" x14ac:dyDescent="0.25">
      <c r="A26" s="3" t="s">
        <v>19</v>
      </c>
      <c r="B26" s="4">
        <v>1</v>
      </c>
      <c r="C26" s="6">
        <v>2.2000000000000002</v>
      </c>
      <c r="D26">
        <f t="shared" si="0"/>
        <v>70.028174960433958</v>
      </c>
      <c r="E26" s="6">
        <v>33</v>
      </c>
      <c r="F26" s="6">
        <v>123</v>
      </c>
      <c r="G26" s="6">
        <v>50.89</v>
      </c>
      <c r="H26" s="9">
        <v>18.260000000000002</v>
      </c>
      <c r="I26" s="2">
        <f t="shared" si="1"/>
        <v>0.88819805633991433</v>
      </c>
      <c r="J26">
        <f t="shared" si="2"/>
        <v>0.31869712141416462</v>
      </c>
      <c r="K26" s="6">
        <v>20</v>
      </c>
      <c r="L26" s="7">
        <v>0</v>
      </c>
      <c r="M26" s="2">
        <f t="shared" si="3"/>
        <v>18.002339016975082</v>
      </c>
    </row>
    <row r="27" spans="1:13" x14ac:dyDescent="0.25">
      <c r="A27" s="3" t="s">
        <v>19</v>
      </c>
      <c r="B27" s="4">
        <v>2</v>
      </c>
      <c r="C27" s="6">
        <v>1.75</v>
      </c>
      <c r="D27">
        <f t="shared" si="0"/>
        <v>55.70423008216337</v>
      </c>
      <c r="E27" s="6">
        <v>35</v>
      </c>
      <c r="F27" s="6">
        <v>105</v>
      </c>
      <c r="G27" s="8">
        <v>46.397199999999998</v>
      </c>
      <c r="H27" s="9">
        <v>19.29</v>
      </c>
      <c r="I27" s="2">
        <f t="shared" si="1"/>
        <v>0.80978390370631304</v>
      </c>
      <c r="J27">
        <f t="shared" si="2"/>
        <v>0.33667401270970615</v>
      </c>
      <c r="K27" s="6">
        <v>20</v>
      </c>
      <c r="L27" s="7">
        <v>0</v>
      </c>
      <c r="M27" s="2">
        <f t="shared" si="3"/>
        <v>14.000032034173797</v>
      </c>
    </row>
    <row r="28" spans="1:13" x14ac:dyDescent="0.25">
      <c r="A28" s="3" t="s">
        <v>19</v>
      </c>
      <c r="B28" s="4">
        <v>3</v>
      </c>
      <c r="C28" s="6">
        <v>1.58</v>
      </c>
      <c r="D28">
        <f t="shared" si="0"/>
        <v>50.292962017038931</v>
      </c>
      <c r="E28" s="6">
        <v>29</v>
      </c>
      <c r="F28" s="6">
        <v>74</v>
      </c>
      <c r="G28" s="6">
        <v>36.5</v>
      </c>
      <c r="H28" s="9">
        <v>16.170000000000002</v>
      </c>
      <c r="I28" s="2">
        <f t="shared" si="1"/>
        <v>0.63704517697793028</v>
      </c>
      <c r="J28">
        <f t="shared" si="2"/>
        <v>0.28221974004748313</v>
      </c>
      <c r="K28" s="6">
        <v>20</v>
      </c>
      <c r="L28" s="7">
        <v>0</v>
      </c>
      <c r="M28" s="2">
        <f t="shared" si="3"/>
        <v>9.0000385113352017</v>
      </c>
    </row>
    <row r="29" spans="1:13" x14ac:dyDescent="0.25">
      <c r="A29" s="3" t="s">
        <v>19</v>
      </c>
      <c r="B29" s="4">
        <v>4</v>
      </c>
      <c r="C29" s="6">
        <v>1.43</v>
      </c>
      <c r="D29">
        <f t="shared" si="0"/>
        <v>45.518313724282066</v>
      </c>
      <c r="E29" s="6">
        <v>10</v>
      </c>
      <c r="F29" s="6">
        <v>120</v>
      </c>
      <c r="G29" s="6">
        <v>50.19</v>
      </c>
      <c r="H29" s="8">
        <v>5.71</v>
      </c>
      <c r="I29" s="2">
        <f t="shared" si="1"/>
        <v>0.87598075157595401</v>
      </c>
      <c r="J29">
        <f t="shared" si="2"/>
        <v>9.965830028887622E-2</v>
      </c>
      <c r="K29" s="6">
        <v>20</v>
      </c>
      <c r="L29" s="7">
        <v>0</v>
      </c>
      <c r="M29" s="2">
        <f t="shared" si="3"/>
        <v>21.996437271848585</v>
      </c>
    </row>
    <row r="30" spans="1:13" x14ac:dyDescent="0.25">
      <c r="A30" s="3" t="s">
        <v>19</v>
      </c>
      <c r="B30" s="4">
        <v>5</v>
      </c>
      <c r="C30" s="6">
        <v>1.85</v>
      </c>
      <c r="D30">
        <f t="shared" si="0"/>
        <v>58.887328944001275</v>
      </c>
      <c r="E30" s="6">
        <v>10</v>
      </c>
      <c r="F30" s="6">
        <v>138</v>
      </c>
      <c r="G30" s="6">
        <v>54.07</v>
      </c>
      <c r="H30" s="8">
        <v>5.71</v>
      </c>
      <c r="I30" s="2">
        <f t="shared" si="1"/>
        <v>0.943699526553334</v>
      </c>
      <c r="J30">
        <f t="shared" si="2"/>
        <v>9.965830028887622E-2</v>
      </c>
      <c r="K30" s="6">
        <v>20</v>
      </c>
      <c r="L30" s="7">
        <v>0</v>
      </c>
      <c r="M30" s="2">
        <f t="shared" si="3"/>
        <v>25.598690885070834</v>
      </c>
    </row>
    <row r="31" spans="1:13" x14ac:dyDescent="0.25">
      <c r="A31" s="3" t="s">
        <v>19</v>
      </c>
      <c r="B31" s="4">
        <v>6</v>
      </c>
      <c r="C31" s="6">
        <v>1.6</v>
      </c>
      <c r="D31">
        <f t="shared" si="0"/>
        <v>50.929581789406512</v>
      </c>
      <c r="E31" s="6">
        <v>0</v>
      </c>
      <c r="F31" s="6">
        <v>150</v>
      </c>
      <c r="G31" s="6">
        <v>56.31</v>
      </c>
      <c r="H31" s="9">
        <v>0</v>
      </c>
      <c r="I31" s="2">
        <f t="shared" si="1"/>
        <v>0.98279490179800699</v>
      </c>
      <c r="J31">
        <f t="shared" si="2"/>
        <v>0</v>
      </c>
      <c r="K31" s="6">
        <v>20</v>
      </c>
      <c r="L31" s="11">
        <v>1.61</v>
      </c>
      <c r="M31" s="2">
        <f t="shared" si="3"/>
        <v>31.610076605929493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Teresa Gimeno</cp:lastModifiedBy>
  <dcterms:created xsi:type="dcterms:W3CDTF">2023-01-09T17:42:15Z</dcterms:created>
  <dcterms:modified xsi:type="dcterms:W3CDTF">2025-12-10T15:01:41Z</dcterms:modified>
</cp:coreProperties>
</file>