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af-my.sharepoint.com/personal/t_gimeno_creaf_uab_cat/Documents/terefi/repo/PHLISCOgradiente/gradienteData/alturas_individuos/"/>
    </mc:Choice>
  </mc:AlternateContent>
  <xr:revisionPtr revIDLastSave="2" documentId="13_ncr:1_{EEAEAA01-5298-4C4A-897B-9738D05DBDE6}" xr6:coauthVersionLast="47" xr6:coauthVersionMax="47" xr10:uidLastSave="{017CB692-7C33-486F-903F-EC2C55246F1D}"/>
  <bookViews>
    <workbookView xWindow="-120" yWindow="-120" windowWidth="29040" windowHeight="15840" xr2:uid="{65EDF863-744C-4BCD-B70F-E72AA507E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23" i="1"/>
  <c r="L21" i="1"/>
  <c r="L22" i="1"/>
  <c r="L19" i="1"/>
  <c r="L18" i="1"/>
  <c r="L17" i="1"/>
  <c r="H9" i="1"/>
  <c r="L9" i="1" s="1"/>
  <c r="H10" i="1"/>
  <c r="L10" i="1" s="1"/>
  <c r="I15" i="1"/>
  <c r="I17" i="1"/>
  <c r="I18" i="1"/>
  <c r="I20" i="1"/>
  <c r="I21" i="1"/>
  <c r="I22" i="1"/>
  <c r="I23" i="1"/>
  <c r="I24" i="1"/>
  <c r="I25" i="1"/>
  <c r="L25" i="1" s="1"/>
  <c r="I26" i="1"/>
  <c r="I27" i="1"/>
  <c r="I28" i="1"/>
  <c r="I29" i="1"/>
  <c r="I30" i="1"/>
  <c r="I31" i="1"/>
  <c r="L31" i="1" s="1"/>
  <c r="H11" i="1"/>
  <c r="L11" i="1" s="1"/>
  <c r="H12" i="1"/>
  <c r="L12" i="1" s="1"/>
  <c r="H13" i="1"/>
  <c r="L13" i="1" s="1"/>
  <c r="H14" i="1"/>
  <c r="L14" i="1" s="1"/>
  <c r="H15" i="1"/>
  <c r="L15" i="1" s="1"/>
  <c r="H16" i="1"/>
  <c r="L16" i="1" s="1"/>
  <c r="H17" i="1"/>
  <c r="H18" i="1"/>
  <c r="H19" i="1"/>
  <c r="H20" i="1"/>
  <c r="L20" i="1" s="1"/>
  <c r="H21" i="1"/>
  <c r="H22" i="1"/>
  <c r="H23" i="1"/>
  <c r="H24" i="1"/>
  <c r="L24" i="1" s="1"/>
  <c r="H25" i="1"/>
  <c r="H26" i="1"/>
  <c r="L26" i="1" s="1"/>
  <c r="H27" i="1"/>
  <c r="L27" i="1" s="1"/>
  <c r="H28" i="1"/>
  <c r="L28" i="1" s="1"/>
  <c r="H29" i="1"/>
  <c r="L29" i="1" s="1"/>
  <c r="H30" i="1"/>
  <c r="L30" i="1" s="1"/>
  <c r="H31" i="1"/>
  <c r="H8" i="1" l="1"/>
  <c r="L8" i="1" s="1"/>
  <c r="I3" i="1"/>
  <c r="H7" i="1" l="1"/>
  <c r="L7" i="1" s="1"/>
  <c r="H6" i="1"/>
  <c r="L6" i="1" s="1"/>
  <c r="H5" i="1"/>
  <c r="L5" i="1" s="1"/>
  <c r="H4" i="1"/>
  <c r="L4" i="1" s="1"/>
  <c r="H2" i="1"/>
  <c r="H3" i="1"/>
  <c r="L3" i="1" s="1"/>
</calcChain>
</file>

<file path=xl/sharedStrings.xml><?xml version="1.0" encoding="utf-8"?>
<sst xmlns="http://schemas.openxmlformats.org/spreadsheetml/2006/main" count="73" uniqueCount="21">
  <si>
    <t>Despejada</t>
  </si>
  <si>
    <t>Sombreada</t>
  </si>
  <si>
    <t>observacion clinometro (%)</t>
  </si>
  <si>
    <t>observacion 2 clinometro (%)</t>
  </si>
  <si>
    <t>observaciones</t>
  </si>
  <si>
    <t>observacion 2 clinometro (⁰)</t>
  </si>
  <si>
    <r>
      <t>observacion clinometro (</t>
    </r>
    <r>
      <rPr>
        <b/>
        <sz val="11"/>
        <color theme="1"/>
        <rFont val="Calibri"/>
        <family val="2"/>
      </rPr>
      <t>⁰)</t>
    </r>
  </si>
  <si>
    <t>perimetro (m)</t>
  </si>
  <si>
    <t>distancia al arbol (m)</t>
  </si>
  <si>
    <t>id_plant</t>
  </si>
  <si>
    <t>altura a los ojos (m)</t>
  </si>
  <si>
    <t>altura (m)</t>
  </si>
  <si>
    <r>
      <t>observacion clinometro (rad</t>
    </r>
    <r>
      <rPr>
        <b/>
        <sz val="11"/>
        <color theme="1"/>
        <rFont val="Calibri"/>
        <family val="2"/>
      </rPr>
      <t>)</t>
    </r>
  </si>
  <si>
    <r>
      <t>observacion clinometro2 (rad</t>
    </r>
    <r>
      <rPr>
        <b/>
        <sz val="11"/>
        <color theme="1"/>
        <rFont val="Calibri"/>
        <family val="2"/>
      </rPr>
      <t>)</t>
    </r>
  </si>
  <si>
    <t>Sitio</t>
  </si>
  <si>
    <t>1.61</t>
  </si>
  <si>
    <t>ms</t>
  </si>
  <si>
    <t>itu</t>
  </si>
  <si>
    <t>art</t>
  </si>
  <si>
    <t>ber</t>
  </si>
  <si>
    <t>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</si>
</sst>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right"/>
    </xf>
    <xf numFmtId="16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2" fontId="3" fillId="0" borderId="0" xfId="0" applyNumberFormat="1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Sheet1!$A$2:$A$31</c:f>
              <c:strCache>
                <c:ptCount val="30"/>
                <c:pt idx="0">
                  <c:v>ms</c:v>
                </c:pt>
                <c:pt idx="1">
                  <c:v>ms</c:v>
                </c:pt>
                <c:pt idx="2">
                  <c:v>ms</c:v>
                </c:pt>
                <c:pt idx="3">
                  <c:v>ms</c:v>
                </c:pt>
                <c:pt idx="4">
                  <c:v>ms</c:v>
                </c:pt>
                <c:pt idx="5">
                  <c:v>ms</c:v>
                </c:pt>
                <c:pt idx="6">
                  <c:v>ms</c:v>
                </c:pt>
                <c:pt idx="7">
                  <c:v>itu</c:v>
                </c:pt>
                <c:pt idx="8">
                  <c:v>itu</c:v>
                </c:pt>
                <c:pt idx="9">
                  <c:v>itu</c:v>
                </c:pt>
                <c:pt idx="10">
                  <c:v>itu</c:v>
                </c:pt>
                <c:pt idx="11">
                  <c:v>itu</c:v>
                </c:pt>
                <c:pt idx="12">
                  <c:v>itu</c:v>
                </c:pt>
                <c:pt idx="13">
                  <c:v>art</c:v>
                </c:pt>
                <c:pt idx="14">
                  <c:v>art</c:v>
                </c:pt>
                <c:pt idx="15">
                  <c:v>art</c:v>
                </c:pt>
                <c:pt idx="16">
                  <c:v>art</c:v>
                </c:pt>
                <c:pt idx="17">
                  <c:v>art</c:v>
                </c:pt>
                <c:pt idx="18">
                  <c:v>ber</c:v>
                </c:pt>
                <c:pt idx="19">
                  <c:v>ber</c:v>
                </c:pt>
                <c:pt idx="20">
                  <c:v>ber</c:v>
                </c:pt>
                <c:pt idx="21">
                  <c:v>ber</c:v>
                </c:pt>
                <c:pt idx="22">
                  <c:v>ber</c:v>
                </c:pt>
                <c:pt idx="23">
                  <c:v>ber</c:v>
                </c:pt>
                <c:pt idx="24">
                  <c:v>diu</c:v>
                </c:pt>
                <c:pt idx="25">
                  <c:v>diu</c:v>
                </c:pt>
                <c:pt idx="26">
                  <c:v>diu</c:v>
                </c:pt>
                <c:pt idx="27">
                  <c:v>diu</c:v>
                </c:pt>
                <c:pt idx="28">
                  <c:v>diu</c:v>
                </c:pt>
                <c:pt idx="29">
                  <c:v>diu</c:v>
                </c:pt>
              </c:strCache>
            </c:strRef>
          </c:cat>
          <c:val>
            <c:numRef>
              <c:f>Sheet1!$L$2:$L$31</c:f>
              <c:numCache>
                <c:formatCode>0.00</c:formatCode>
                <c:ptCount val="30"/>
                <c:pt idx="0">
                  <c:v>19.211376798104549</c:v>
                </c:pt>
                <c:pt idx="1">
                  <c:v>16.340685397713244</c:v>
                </c:pt>
                <c:pt idx="2">
                  <c:v>16.409221500569753</c:v>
                </c:pt>
                <c:pt idx="3">
                  <c:v>17.615835278785902</c:v>
                </c:pt>
                <c:pt idx="4">
                  <c:v>21.209127912476387</c:v>
                </c:pt>
                <c:pt idx="5">
                  <c:v>17.615835278785902</c:v>
                </c:pt>
                <c:pt idx="6">
                  <c:v>10.009012125690015</c:v>
                </c:pt>
                <c:pt idx="7">
                  <c:v>22.610013924279787</c:v>
                </c:pt>
                <c:pt idx="8">
                  <c:v>26.609828487597905</c:v>
                </c:pt>
                <c:pt idx="9">
                  <c:v>22.610013924279787</c:v>
                </c:pt>
                <c:pt idx="10">
                  <c:v>23.612846031939632</c:v>
                </c:pt>
                <c:pt idx="11">
                  <c:v>31.610076605929493</c:v>
                </c:pt>
                <c:pt idx="12">
                  <c:v>29.607600749720511</c:v>
                </c:pt>
                <c:pt idx="13">
                  <c:v>25.997809863990216</c:v>
                </c:pt>
                <c:pt idx="14">
                  <c:v>29.208481770801129</c:v>
                </c:pt>
                <c:pt idx="15">
                  <c:v>37.20867885810263</c:v>
                </c:pt>
                <c:pt idx="16">
                  <c:v>37.20867885810263</c:v>
                </c:pt>
                <c:pt idx="17">
                  <c:v>31.610076605929493</c:v>
                </c:pt>
                <c:pt idx="18">
                  <c:v>18.998099772490871</c:v>
                </c:pt>
                <c:pt idx="19">
                  <c:v>17.002141314721808</c:v>
                </c:pt>
                <c:pt idx="20">
                  <c:v>16.400361782572585</c:v>
                </c:pt>
                <c:pt idx="21">
                  <c:v>27.00034986675589</c:v>
                </c:pt>
                <c:pt idx="22">
                  <c:v>27.205115399218691</c:v>
                </c:pt>
                <c:pt idx="23">
                  <c:v>23.999145554882745</c:v>
                </c:pt>
                <c:pt idx="24">
                  <c:v>31.200101781640264</c:v>
                </c:pt>
                <c:pt idx="25">
                  <c:v>27.999995814385777</c:v>
                </c:pt>
                <c:pt idx="26">
                  <c:v>20.598404489804302</c:v>
                </c:pt>
                <c:pt idx="27">
                  <c:v>25.996019043309179</c:v>
                </c:pt>
                <c:pt idx="28">
                  <c:v>29.598272656531428</c:v>
                </c:pt>
                <c:pt idx="29">
                  <c:v>30.000076605929493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9-4146-B900-E443D7914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151056"/>
        <c:axId val="837721504"/>
      </c:barChart>
      <c:catAx>
        <c:axId val="83915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721504"/>
        <c:crosses val="autoZero"/>
        <c:auto val="1"/>
        <c:lblAlgn val="ctr"/>
        <c:lblOffset val="100"/>
        <c:noMultiLvlLbl val="0"/>
      </c:catAx>
      <c:valAx>
        <c:axId val="83772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5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1470025</xdr:colOff>
      <xdr:row>34</xdr:row>
      <xdr:rowOff>6350</xdr:rowOff>
    </xdr:from>
    <xdr:to>
      <xdr:col>7</xdr:col>
      <xdr:colOff>946150</xdr:colOff>
      <xdr:row>48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DC583D-D42C-4036-A8C6-55A2D4754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A0D0-FB25-46C8-A6BF-8AC8822E85C0}">
  <dimension ref="A1:M31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15" x14ac:dyDescent="0.25"/>
  <cols>
    <col min="1" max="1" width="14" bestFit="1" customWidth="1"/>
    <col min="2" max="2" width="3.28515625" customWidth="1"/>
    <col min="3" max="3" width="12.5703125" bestFit="1" customWidth="1"/>
    <col min="4" max="4" width="23.85546875" bestFit="1" customWidth="1"/>
    <col min="5" max="5" width="25.42578125" bestFit="1" customWidth="1"/>
    <col min="6" max="6" width="23.28515625" bestFit="1" customWidth="1"/>
    <col min="7" max="7" width="24.7109375" bestFit="1" customWidth="1"/>
    <col min="8" max="8" width="25.42578125" bestFit="1" customWidth="1"/>
    <col min="9" max="9" width="26.42578125" bestFit="1" customWidth="1"/>
    <col min="10" max="10" width="6.42578125" customWidth="1"/>
    <col min="11" max="11" width="7" customWidth="1"/>
    <col min="12" max="12" width="9.140625" bestFit="1" customWidth="1"/>
    <col min="13" max="13" width="12.7109375" bestFit="1" customWidth="1"/>
  </cols>
  <sheetData>
    <row r="1" spans="1:13" x14ac:dyDescent="0.25">
      <c r="A1" s="1" t="s">
        <v>14</v>
      </c>
      <c r="B1" s="1" t="s">
        <v>9</v>
      </c>
      <c r="C1" s="1" t="s">
        <v>7</v>
      </c>
      <c r="D1" s="1" t="s">
        <v>2</v>
      </c>
      <c r="E1" s="1" t="s">
        <v>3</v>
      </c>
      <c r="F1" s="1" t="s">
        <v>6</v>
      </c>
      <c r="G1" s="1" t="s">
        <v>5</v>
      </c>
      <c r="H1" s="1" t="s">
        <v>12</v>
      </c>
      <c r="I1" s="1" t="s">
        <v>13</v>
      </c>
      <c r="J1" s="1" t="s">
        <v>8</v>
      </c>
      <c r="K1" s="1" t="s">
        <v>10</v>
      </c>
      <c r="L1" s="1" t="s">
        <v>11</v>
      </c>
      <c r="M1" s="1" t="s">
        <v>4</v>
      </c>
    </row>
    <row r="2" spans="1:13" x14ac:dyDescent="0.25">
      <c r="A2" t="s">
        <v>16</v>
      </c>
      <c r="B2">
        <v>1</v>
      </c>
      <c r="C2">
        <v>2.17</v>
      </c>
      <c r="D2">
        <v>88</v>
      </c>
      <c r="F2" s="2">
        <v>41.35</v>
      </c>
      <c r="H2" s="2">
        <f t="shared" ref="H2:H8" si="0">RADIANS(F2)</f>
        <v>0.72169364569965533</v>
      </c>
      <c r="J2">
        <v>20</v>
      </c>
      <c r="K2">
        <v>1.61</v>
      </c>
      <c r="L2" s="2">
        <f>((TAN(H2))*J2)+K2</f>
        <v>19.211376798104549</v>
      </c>
      <c r="M2" t="s">
        <v>0</v>
      </c>
    </row>
    <row r="3" spans="1:13" x14ac:dyDescent="0.25">
      <c r="A3" t="s">
        <v>16</v>
      </c>
      <c r="B3">
        <v>2</v>
      </c>
      <c r="C3">
        <v>1.84</v>
      </c>
      <c r="D3">
        <v>82</v>
      </c>
      <c r="E3">
        <v>84</v>
      </c>
      <c r="F3" s="2">
        <v>39.25</v>
      </c>
      <c r="H3" s="2">
        <f t="shared" si="0"/>
        <v>0.68504173140777436</v>
      </c>
      <c r="I3" s="2">
        <f>RADIANS(G3)</f>
        <v>0</v>
      </c>
      <c r="J3">
        <v>20</v>
      </c>
      <c r="K3">
        <v>1.61</v>
      </c>
      <c r="L3" s="2">
        <f>((TAN(H3)+TAN(I3))*J3)</f>
        <v>16.340685397713244</v>
      </c>
      <c r="M3" t="s">
        <v>1</v>
      </c>
    </row>
    <row r="4" spans="1:13" x14ac:dyDescent="0.25">
      <c r="A4" t="s">
        <v>16</v>
      </c>
      <c r="B4">
        <v>3</v>
      </c>
      <c r="C4">
        <v>2.16</v>
      </c>
      <c r="D4">
        <v>74</v>
      </c>
      <c r="F4" s="2">
        <v>36.5</v>
      </c>
      <c r="H4" s="2">
        <f t="shared" si="0"/>
        <v>0.63704517697793028</v>
      </c>
      <c r="I4" s="2"/>
      <c r="J4">
        <v>20</v>
      </c>
      <c r="K4">
        <v>1.61</v>
      </c>
      <c r="L4" s="2">
        <f>((TAN(H4)*J4))+K4</f>
        <v>16.409221500569753</v>
      </c>
      <c r="M4" t="s">
        <v>1</v>
      </c>
    </row>
    <row r="5" spans="1:13" x14ac:dyDescent="0.25">
      <c r="A5" t="s">
        <v>16</v>
      </c>
      <c r="B5">
        <v>4</v>
      </c>
      <c r="C5">
        <v>1.92</v>
      </c>
      <c r="D5">
        <v>80</v>
      </c>
      <c r="F5" s="2">
        <v>38.67</v>
      </c>
      <c r="H5" s="2">
        <f t="shared" si="0"/>
        <v>0.67491882174620732</v>
      </c>
      <c r="I5" s="2"/>
      <c r="J5">
        <v>20</v>
      </c>
      <c r="K5">
        <v>1.61</v>
      </c>
      <c r="L5" s="2">
        <f t="shared" ref="L5:L14" si="1">((TAN(H5)*J5))+K5</f>
        <v>17.615835278785902</v>
      </c>
      <c r="M5" t="s">
        <v>1</v>
      </c>
    </row>
    <row r="6" spans="1:13" x14ac:dyDescent="0.25">
      <c r="A6" t="s">
        <v>16</v>
      </c>
      <c r="B6">
        <v>5</v>
      </c>
      <c r="C6">
        <v>2.0299999999999998</v>
      </c>
      <c r="D6">
        <v>98</v>
      </c>
      <c r="F6" s="2">
        <v>44.42</v>
      </c>
      <c r="H6" s="2">
        <f t="shared" si="0"/>
        <v>0.77527525373588124</v>
      </c>
      <c r="I6" s="2"/>
      <c r="J6">
        <v>20</v>
      </c>
      <c r="K6">
        <v>1.61</v>
      </c>
      <c r="L6" s="2">
        <f t="shared" si="1"/>
        <v>21.209127912476387</v>
      </c>
      <c r="M6" t="s">
        <v>0</v>
      </c>
    </row>
    <row r="7" spans="1:13" x14ac:dyDescent="0.25">
      <c r="A7" t="s">
        <v>16</v>
      </c>
      <c r="B7">
        <v>6</v>
      </c>
      <c r="C7">
        <v>2.4300000000000002</v>
      </c>
      <c r="D7">
        <v>80</v>
      </c>
      <c r="F7" s="2">
        <v>38.67</v>
      </c>
      <c r="H7" s="2">
        <f t="shared" si="0"/>
        <v>0.67491882174620732</v>
      </c>
      <c r="I7" s="2"/>
      <c r="J7">
        <v>20</v>
      </c>
      <c r="K7">
        <v>1.61</v>
      </c>
      <c r="L7" s="2">
        <f t="shared" si="1"/>
        <v>17.615835278785902</v>
      </c>
      <c r="M7" t="s">
        <v>0</v>
      </c>
    </row>
    <row r="8" spans="1:13" x14ac:dyDescent="0.25">
      <c r="A8" t="s">
        <v>16</v>
      </c>
      <c r="B8">
        <v>7</v>
      </c>
      <c r="C8">
        <v>1.3</v>
      </c>
      <c r="D8">
        <v>42</v>
      </c>
      <c r="F8" s="2">
        <v>22.78</v>
      </c>
      <c r="H8" s="2">
        <f t="shared" si="0"/>
        <v>0.39758600360430829</v>
      </c>
      <c r="I8" s="2"/>
      <c r="J8">
        <v>20</v>
      </c>
      <c r="K8">
        <v>1.61</v>
      </c>
      <c r="L8" s="2">
        <f t="shared" si="1"/>
        <v>10.009012125690015</v>
      </c>
      <c r="M8" t="s">
        <v>0</v>
      </c>
    </row>
    <row r="9" spans="1:13" x14ac:dyDescent="0.25">
      <c r="A9" s="3" t="s">
        <v>17</v>
      </c>
      <c r="B9" s="4">
        <v>1</v>
      </c>
      <c r="C9" s="5">
        <v>45109</v>
      </c>
      <c r="D9" s="6">
        <v>105</v>
      </c>
      <c r="F9" s="8">
        <v>46.397199999999998</v>
      </c>
      <c r="H9" s="2">
        <f t="shared" ref="H9:H31" si="2">RADIANS(F9)</f>
        <v>0.80978390370631304</v>
      </c>
      <c r="I9" s="2"/>
      <c r="J9" s="6">
        <v>20</v>
      </c>
      <c r="K9" s="7" t="s">
        <v>15</v>
      </c>
      <c r="L9" s="2">
        <f t="shared" si="1"/>
        <v>22.610013924279787</v>
      </c>
    </row>
    <row r="10" spans="1:13" x14ac:dyDescent="0.25">
      <c r="A10" s="3" t="s">
        <v>17</v>
      </c>
      <c r="B10" s="4">
        <v>2</v>
      </c>
      <c r="C10" s="6">
        <v>3.54</v>
      </c>
      <c r="D10" s="6">
        <v>125</v>
      </c>
      <c r="F10" s="8">
        <v>51.34</v>
      </c>
      <c r="H10" s="2">
        <f t="shared" si="2"/>
        <v>0.89605203797388888</v>
      </c>
      <c r="I10" s="2"/>
      <c r="J10" s="6">
        <v>20</v>
      </c>
      <c r="K10" s="7" t="s">
        <v>15</v>
      </c>
      <c r="L10" s="2">
        <f t="shared" si="1"/>
        <v>26.609828487597905</v>
      </c>
    </row>
    <row r="11" spans="1:13" x14ac:dyDescent="0.25">
      <c r="A11" s="3" t="s">
        <v>17</v>
      </c>
      <c r="B11" s="4">
        <v>3</v>
      </c>
      <c r="C11" s="6">
        <v>2.76</v>
      </c>
      <c r="D11" s="6">
        <v>105</v>
      </c>
      <c r="F11" s="8">
        <v>46.397199999999998</v>
      </c>
      <c r="H11" s="2">
        <f t="shared" si="2"/>
        <v>0.80978390370631304</v>
      </c>
      <c r="I11" s="2"/>
      <c r="J11" s="6">
        <v>20</v>
      </c>
      <c r="K11" s="7" t="s">
        <v>15</v>
      </c>
      <c r="L11" s="2">
        <f t="shared" si="1"/>
        <v>22.610013924279787</v>
      </c>
    </row>
    <row r="12" spans="1:13" x14ac:dyDescent="0.25">
      <c r="A12" s="3" t="s">
        <v>17</v>
      </c>
      <c r="B12" s="4">
        <v>4</v>
      </c>
      <c r="C12" s="6">
        <v>2.82</v>
      </c>
      <c r="D12" s="6">
        <v>110</v>
      </c>
      <c r="F12" s="8">
        <v>47.73</v>
      </c>
      <c r="H12" s="2">
        <f t="shared" si="2"/>
        <v>0.8330456519768934</v>
      </c>
      <c r="I12" s="2"/>
      <c r="J12" s="6">
        <v>20</v>
      </c>
      <c r="K12" s="7" t="s">
        <v>15</v>
      </c>
      <c r="L12" s="2">
        <f t="shared" si="1"/>
        <v>23.612846031939632</v>
      </c>
    </row>
    <row r="13" spans="1:13" x14ac:dyDescent="0.25">
      <c r="A13" s="3" t="s">
        <v>17</v>
      </c>
      <c r="B13" s="4">
        <v>5</v>
      </c>
      <c r="C13" s="6">
        <v>2.88</v>
      </c>
      <c r="D13" s="6">
        <v>150</v>
      </c>
      <c r="F13" s="8">
        <v>56.31</v>
      </c>
      <c r="H13" s="2">
        <f t="shared" si="2"/>
        <v>0.98279490179800699</v>
      </c>
      <c r="I13" s="2"/>
      <c r="J13" s="6">
        <v>20</v>
      </c>
      <c r="K13" s="7" t="s">
        <v>15</v>
      </c>
      <c r="L13" s="2">
        <f t="shared" si="1"/>
        <v>31.610076605929493</v>
      </c>
    </row>
    <row r="14" spans="1:13" x14ac:dyDescent="0.25">
      <c r="A14" s="3" t="s">
        <v>17</v>
      </c>
      <c r="B14" s="4">
        <v>6</v>
      </c>
      <c r="C14" s="6">
        <v>2.86</v>
      </c>
      <c r="D14" s="6">
        <v>140</v>
      </c>
      <c r="F14" s="8">
        <v>54.46</v>
      </c>
      <c r="H14" s="2">
        <f t="shared" si="2"/>
        <v>0.95050631063611191</v>
      </c>
      <c r="I14" s="2"/>
      <c r="J14" s="6">
        <v>20</v>
      </c>
      <c r="K14" s="7" t="s">
        <v>15</v>
      </c>
      <c r="L14" s="2">
        <f t="shared" si="1"/>
        <v>29.607600749720511</v>
      </c>
    </row>
    <row r="15" spans="1:13" x14ac:dyDescent="0.25">
      <c r="A15" s="3" t="s">
        <v>18</v>
      </c>
      <c r="B15" s="4">
        <v>1</v>
      </c>
      <c r="C15" s="6">
        <v>2.2999999999999998</v>
      </c>
      <c r="D15" s="6">
        <v>10</v>
      </c>
      <c r="E15" s="6">
        <v>140</v>
      </c>
      <c r="F15" s="8">
        <v>5.71</v>
      </c>
      <c r="G15" s="6">
        <v>54.46</v>
      </c>
      <c r="H15" s="2">
        <f t="shared" si="2"/>
        <v>9.965830028887622E-2</v>
      </c>
      <c r="I15" s="2">
        <f t="shared" ref="I15:I31" si="3">RADIANS(G15)</f>
        <v>0.95050631063611191</v>
      </c>
      <c r="J15" s="6">
        <v>20</v>
      </c>
      <c r="K15" s="7" t="s">
        <v>15</v>
      </c>
      <c r="L15" s="2">
        <f>((TAN(I15)-(TAN(H15)))*J15)</f>
        <v>25.997809863990216</v>
      </c>
    </row>
    <row r="16" spans="1:13" x14ac:dyDescent="0.25">
      <c r="A16" s="3" t="s">
        <v>18</v>
      </c>
      <c r="B16" s="4">
        <v>2</v>
      </c>
      <c r="C16" s="6">
        <v>1.8</v>
      </c>
      <c r="D16" s="6">
        <v>138</v>
      </c>
      <c r="F16" s="8">
        <v>54.07</v>
      </c>
      <c r="H16" s="2">
        <f t="shared" si="2"/>
        <v>0.943699526553334</v>
      </c>
      <c r="I16" s="2"/>
      <c r="J16" s="6">
        <v>20</v>
      </c>
      <c r="K16" s="7" t="s">
        <v>15</v>
      </c>
      <c r="L16" s="2">
        <f t="shared" ref="L16" si="4">((TAN(H16))*J16)+K16</f>
        <v>29.208481770801129</v>
      </c>
    </row>
    <row r="17" spans="1:12" x14ac:dyDescent="0.25">
      <c r="A17" s="3" t="s">
        <v>18</v>
      </c>
      <c r="B17" s="4">
        <v>3</v>
      </c>
      <c r="C17" s="6">
        <v>2.65</v>
      </c>
      <c r="D17" s="6">
        <v>14</v>
      </c>
      <c r="E17" s="6">
        <v>200</v>
      </c>
      <c r="F17" s="8">
        <v>7.97</v>
      </c>
      <c r="G17" s="6">
        <v>63.44</v>
      </c>
      <c r="H17" s="2">
        <f t="shared" si="2"/>
        <v>0.13910274138394807</v>
      </c>
      <c r="I17" s="2">
        <f t="shared" si="3"/>
        <v>1.1072368774652026</v>
      </c>
      <c r="J17" s="6">
        <v>20</v>
      </c>
      <c r="K17" s="7" t="s">
        <v>15</v>
      </c>
      <c r="L17" s="2">
        <f>((TAN(I17)-(TAN(H17)))*J17)</f>
        <v>37.20867885810263</v>
      </c>
    </row>
    <row r="18" spans="1:12" x14ac:dyDescent="0.25">
      <c r="A18" s="3" t="s">
        <v>18</v>
      </c>
      <c r="B18" s="4">
        <v>6</v>
      </c>
      <c r="C18" s="6">
        <v>2</v>
      </c>
      <c r="D18" s="6">
        <v>14</v>
      </c>
      <c r="E18" s="6">
        <v>200</v>
      </c>
      <c r="F18" s="9">
        <v>7.97</v>
      </c>
      <c r="G18" s="6">
        <v>63.44</v>
      </c>
      <c r="H18" s="2">
        <f t="shared" si="2"/>
        <v>0.13910274138394807</v>
      </c>
      <c r="I18" s="2">
        <f t="shared" si="3"/>
        <v>1.1072368774652026</v>
      </c>
      <c r="J18" s="6">
        <v>20</v>
      </c>
      <c r="K18" s="7" t="s">
        <v>15</v>
      </c>
      <c r="L18" s="2">
        <f>((TAN(I18)-(TAN(H18)))*J18)</f>
        <v>37.20867885810263</v>
      </c>
    </row>
    <row r="19" spans="1:12" x14ac:dyDescent="0.25">
      <c r="A19" s="3" t="s">
        <v>18</v>
      </c>
      <c r="B19" s="4">
        <v>4</v>
      </c>
      <c r="C19" s="6">
        <v>2.8</v>
      </c>
      <c r="D19" s="6">
        <v>150</v>
      </c>
      <c r="F19" s="9">
        <v>56.31</v>
      </c>
      <c r="H19" s="2">
        <f t="shared" si="2"/>
        <v>0.98279490179800699</v>
      </c>
      <c r="I19" s="2"/>
      <c r="J19" s="6">
        <v>20</v>
      </c>
      <c r="K19" s="7" t="s">
        <v>15</v>
      </c>
      <c r="L19" s="2">
        <f t="shared" ref="L19" si="5">((TAN(H19))*J19)+K19</f>
        <v>31.610076605929493</v>
      </c>
    </row>
    <row r="20" spans="1:12" x14ac:dyDescent="0.25">
      <c r="A20" s="3" t="s">
        <v>19</v>
      </c>
      <c r="B20" s="4">
        <v>1</v>
      </c>
      <c r="C20" s="6">
        <v>2.76</v>
      </c>
      <c r="D20" s="6">
        <v>28</v>
      </c>
      <c r="E20" s="6">
        <v>67</v>
      </c>
      <c r="F20" s="9">
        <v>15.64</v>
      </c>
      <c r="G20" s="6">
        <v>33.82</v>
      </c>
      <c r="H20" s="2">
        <f t="shared" si="2"/>
        <v>0.27296949501191314</v>
      </c>
      <c r="I20" s="2">
        <f t="shared" si="3"/>
        <v>0.59027035302448227</v>
      </c>
      <c r="J20" s="6">
        <v>20</v>
      </c>
      <c r="K20" s="7" t="s">
        <v>15</v>
      </c>
      <c r="L20" s="2">
        <f>((TAN(I20)+(TAN(H20)))*J20)</f>
        <v>18.998099772490871</v>
      </c>
    </row>
    <row r="21" spans="1:12" x14ac:dyDescent="0.25">
      <c r="A21" s="3" t="s">
        <v>19</v>
      </c>
      <c r="B21" s="4">
        <v>2</v>
      </c>
      <c r="C21" s="6">
        <v>3.7</v>
      </c>
      <c r="D21" s="6">
        <v>35</v>
      </c>
      <c r="E21" s="6">
        <v>50</v>
      </c>
      <c r="F21" s="9">
        <v>19.29</v>
      </c>
      <c r="G21" s="6">
        <v>26.57</v>
      </c>
      <c r="H21" s="2">
        <f t="shared" si="2"/>
        <v>0.33667401270970615</v>
      </c>
      <c r="I21" s="2">
        <f t="shared" si="3"/>
        <v>0.46373398225489337</v>
      </c>
      <c r="J21" s="6">
        <v>20</v>
      </c>
      <c r="K21" s="7" t="s">
        <v>15</v>
      </c>
      <c r="L21" s="2">
        <f t="shared" ref="L21:L22" si="6">((TAN(I21)+(TAN(H21)))*J21)</f>
        <v>17.002141314721808</v>
      </c>
    </row>
    <row r="22" spans="1:12" x14ac:dyDescent="0.25">
      <c r="A22" s="3" t="s">
        <v>19</v>
      </c>
      <c r="B22" s="4">
        <v>3</v>
      </c>
      <c r="C22" s="6">
        <v>2.9</v>
      </c>
      <c r="D22" s="6">
        <v>32</v>
      </c>
      <c r="E22" s="6">
        <v>50</v>
      </c>
      <c r="F22" s="9">
        <v>17.739999999999998</v>
      </c>
      <c r="G22" s="6">
        <v>26.57</v>
      </c>
      <c r="H22" s="2">
        <f t="shared" si="2"/>
        <v>0.30962140930379406</v>
      </c>
      <c r="I22" s="2">
        <f t="shared" si="3"/>
        <v>0.46373398225489337</v>
      </c>
      <c r="J22" s="6">
        <v>20</v>
      </c>
      <c r="K22" s="7" t="s">
        <v>15</v>
      </c>
      <c r="L22" s="2">
        <f t="shared" si="6"/>
        <v>16.400361782572585</v>
      </c>
    </row>
    <row r="23" spans="1:12" x14ac:dyDescent="0.25">
      <c r="A23" s="3" t="s">
        <v>19</v>
      </c>
      <c r="B23" s="4">
        <v>4</v>
      </c>
      <c r="C23" s="6">
        <v>3.5</v>
      </c>
      <c r="D23" s="6">
        <v>15</v>
      </c>
      <c r="E23" s="6">
        <v>150</v>
      </c>
      <c r="F23" s="9">
        <v>8.5299999999999994</v>
      </c>
      <c r="G23" s="6">
        <v>56.31</v>
      </c>
      <c r="H23" s="2">
        <f t="shared" si="2"/>
        <v>0.14887658519511629</v>
      </c>
      <c r="I23" s="2">
        <f t="shared" si="3"/>
        <v>0.98279490179800699</v>
      </c>
      <c r="J23" s="6">
        <v>20</v>
      </c>
      <c r="K23" s="7" t="s">
        <v>15</v>
      </c>
      <c r="L23" s="2">
        <f>((TAN(I23)-(TAN(H23)))*J23)</f>
        <v>27.00034986675589</v>
      </c>
    </row>
    <row r="24" spans="1:12" x14ac:dyDescent="0.25">
      <c r="A24" s="3" t="s">
        <v>19</v>
      </c>
      <c r="B24" s="4">
        <v>5</v>
      </c>
      <c r="C24" s="6">
        <v>5.5</v>
      </c>
      <c r="D24" s="6">
        <v>24</v>
      </c>
      <c r="E24" s="6">
        <v>160</v>
      </c>
      <c r="F24" s="9">
        <v>13.5</v>
      </c>
      <c r="G24" s="6">
        <v>58</v>
      </c>
      <c r="H24" s="2">
        <f t="shared" si="2"/>
        <v>0.23561944901923448</v>
      </c>
      <c r="I24" s="2">
        <f t="shared" si="3"/>
        <v>1.0122909661567112</v>
      </c>
      <c r="J24" s="6">
        <v>20</v>
      </c>
      <c r="K24" s="7" t="s">
        <v>15</v>
      </c>
      <c r="L24" s="2">
        <f t="shared" ref="L24:L25" si="7">((TAN(I24)-(TAN(H24)))*J24)</f>
        <v>27.205115399218691</v>
      </c>
    </row>
    <row r="25" spans="1:12" x14ac:dyDescent="0.25">
      <c r="A25" s="3" t="s">
        <v>19</v>
      </c>
      <c r="B25" s="4">
        <v>6</v>
      </c>
      <c r="C25" s="6">
        <v>4.0999999999999996</v>
      </c>
      <c r="D25" s="6">
        <v>15</v>
      </c>
      <c r="E25" s="6">
        <v>135</v>
      </c>
      <c r="F25" s="9">
        <v>8.5299999999999994</v>
      </c>
      <c r="G25" s="6">
        <v>53.47</v>
      </c>
      <c r="H25" s="2">
        <f t="shared" si="2"/>
        <v>0.14887658519511629</v>
      </c>
      <c r="I25" s="2">
        <f t="shared" si="3"/>
        <v>0.93322755104136801</v>
      </c>
      <c r="J25" s="6">
        <v>20</v>
      </c>
      <c r="K25" s="7" t="s">
        <v>15</v>
      </c>
      <c r="L25" s="2">
        <f t="shared" si="7"/>
        <v>23.999145554882745</v>
      </c>
    </row>
    <row r="26" spans="1:12" x14ac:dyDescent="0.25">
      <c r="A26" s="3" t="s">
        <v>20</v>
      </c>
      <c r="B26" s="4">
        <v>1</v>
      </c>
      <c r="C26" s="6">
        <v>2.2000000000000002</v>
      </c>
      <c r="D26" s="6">
        <v>33</v>
      </c>
      <c r="E26" s="6">
        <v>123</v>
      </c>
      <c r="F26" s="9">
        <v>18.260000000000002</v>
      </c>
      <c r="G26" s="6">
        <v>50.89</v>
      </c>
      <c r="H26" s="2">
        <f t="shared" si="2"/>
        <v>0.31869712141416462</v>
      </c>
      <c r="I26" s="2">
        <f t="shared" si="3"/>
        <v>0.88819805633991433</v>
      </c>
      <c r="J26" s="6">
        <v>20</v>
      </c>
      <c r="K26" s="7" t="s">
        <v>15</v>
      </c>
      <c r="L26" s="2">
        <f>((TAN(H26)+(TAN(I26)))*J26)</f>
        <v>31.200101781640264</v>
      </c>
    </row>
    <row r="27" spans="1:12" x14ac:dyDescent="0.25">
      <c r="A27" s="3" t="s">
        <v>20</v>
      </c>
      <c r="B27" s="4">
        <v>2</v>
      </c>
      <c r="C27" s="6">
        <v>1.75</v>
      </c>
      <c r="D27" s="6">
        <v>35</v>
      </c>
      <c r="E27" s="6">
        <v>105</v>
      </c>
      <c r="F27" s="9">
        <v>19.29</v>
      </c>
      <c r="G27" s="8">
        <v>46.397199999999998</v>
      </c>
      <c r="H27" s="2">
        <f t="shared" si="2"/>
        <v>0.33667401270970615</v>
      </c>
      <c r="I27" s="2">
        <f t="shared" si="3"/>
        <v>0.80978390370631304</v>
      </c>
      <c r="J27" s="6">
        <v>20</v>
      </c>
      <c r="K27" s="7" t="s">
        <v>15</v>
      </c>
      <c r="L27" s="2">
        <f t="shared" ref="L27:L30" si="8">((TAN(H27)+(TAN(I27)))*J27)</f>
        <v>27.999995814385777</v>
      </c>
    </row>
    <row r="28" spans="1:12" x14ac:dyDescent="0.25">
      <c r="A28" s="3" t="s">
        <v>20</v>
      </c>
      <c r="B28" s="4">
        <v>3</v>
      </c>
      <c r="C28" s="6">
        <v>1.58</v>
      </c>
      <c r="D28" s="6">
        <v>29</v>
      </c>
      <c r="E28" s="6">
        <v>74</v>
      </c>
      <c r="F28" s="9">
        <v>16.170000000000002</v>
      </c>
      <c r="G28" s="6">
        <v>36.5</v>
      </c>
      <c r="H28" s="2">
        <f t="shared" si="2"/>
        <v>0.28221974004748313</v>
      </c>
      <c r="I28" s="2">
        <f t="shared" si="3"/>
        <v>0.63704517697793028</v>
      </c>
      <c r="J28" s="6">
        <v>20</v>
      </c>
      <c r="K28" s="7" t="s">
        <v>15</v>
      </c>
      <c r="L28" s="2">
        <f t="shared" si="8"/>
        <v>20.598404489804302</v>
      </c>
    </row>
    <row r="29" spans="1:12" x14ac:dyDescent="0.25">
      <c r="A29" s="3" t="s">
        <v>20</v>
      </c>
      <c r="B29" s="4">
        <v>4</v>
      </c>
      <c r="C29" s="6">
        <v>1.43</v>
      </c>
      <c r="D29" s="6">
        <v>10</v>
      </c>
      <c r="E29" s="6">
        <v>120</v>
      </c>
      <c r="F29" s="8">
        <v>5.71</v>
      </c>
      <c r="G29" s="6">
        <v>50.19</v>
      </c>
      <c r="H29" s="2">
        <f t="shared" si="2"/>
        <v>9.965830028887622E-2</v>
      </c>
      <c r="I29" s="2">
        <f t="shared" si="3"/>
        <v>0.87598075157595401</v>
      </c>
      <c r="J29" s="6">
        <v>20</v>
      </c>
      <c r="K29" s="7" t="s">
        <v>15</v>
      </c>
      <c r="L29" s="2">
        <f t="shared" si="8"/>
        <v>25.996019043309179</v>
      </c>
    </row>
    <row r="30" spans="1:12" x14ac:dyDescent="0.25">
      <c r="A30" s="3" t="s">
        <v>20</v>
      </c>
      <c r="B30" s="4">
        <v>5</v>
      </c>
      <c r="C30" s="6">
        <v>1.85</v>
      </c>
      <c r="D30" s="6">
        <v>10</v>
      </c>
      <c r="E30" s="6">
        <v>138</v>
      </c>
      <c r="F30" s="8">
        <v>5.71</v>
      </c>
      <c r="G30" s="6">
        <v>54.07</v>
      </c>
      <c r="H30" s="2">
        <f t="shared" si="2"/>
        <v>9.965830028887622E-2</v>
      </c>
      <c r="I30" s="2">
        <f t="shared" si="3"/>
        <v>0.943699526553334</v>
      </c>
      <c r="J30" s="6">
        <v>20</v>
      </c>
      <c r="K30" s="7" t="s">
        <v>15</v>
      </c>
      <c r="L30" s="2">
        <f t="shared" si="8"/>
        <v>29.598272656531428</v>
      </c>
    </row>
    <row r="31" spans="1:12" x14ac:dyDescent="0.25">
      <c r="A31" s="3" t="s">
        <v>20</v>
      </c>
      <c r="B31" s="4">
        <v>6</v>
      </c>
      <c r="C31" s="6">
        <v>1.6</v>
      </c>
      <c r="D31" s="6">
        <v>0</v>
      </c>
      <c r="E31" s="6">
        <v>150</v>
      </c>
      <c r="F31" s="9">
        <v>0</v>
      </c>
      <c r="G31" s="6">
        <v>56.31</v>
      </c>
      <c r="H31" s="2">
        <f t="shared" si="2"/>
        <v>0</v>
      </c>
      <c r="I31" s="2">
        <f t="shared" si="3"/>
        <v>0.98279490179800699</v>
      </c>
      <c r="J31" s="6">
        <v>20</v>
      </c>
      <c r="K31" s="7" t="s">
        <v>15</v>
      </c>
      <c r="L31" s="2">
        <f>((TAN(I31)-(TAN(H31)))*J31)</f>
        <v>30.000076605929493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Teresa Gimeno</cp:lastModifiedBy>
  <dcterms:created xsi:type="dcterms:W3CDTF">2023-01-09T17:42:15Z</dcterms:created>
  <dcterms:modified xsi:type="dcterms:W3CDTF">2025-12-10T11:26:27Z</dcterms:modified>
</cp:coreProperties>
</file>