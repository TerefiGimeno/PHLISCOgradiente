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eaf-my.sharepoint.com/personal/t_gimeno_creaf_uab_cat/Documents/terefi/ensayos/gradiente_2023/chl_gradiente_2023/"/>
    </mc:Choice>
  </mc:AlternateContent>
  <xr:revisionPtr revIDLastSave="1" documentId="13_ncr:1_{910452EF-14CA-4496-BB8E-1F1DB6182442}" xr6:coauthVersionLast="47" xr6:coauthVersionMax="47" xr10:uidLastSave="{6191049C-F5FE-492F-B238-35D4D2998191}"/>
  <bookViews>
    <workbookView xWindow="-120" yWindow="-120" windowWidth="29040" windowHeight="15840" xr2:uid="{B6B7D4AA-BF95-46D8-94F2-CA43D099F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S44" i="1"/>
  <c r="X44" i="1"/>
  <c r="W44" i="1"/>
  <c r="T57" i="1"/>
  <c r="S57" i="1"/>
  <c r="U57" i="1" s="1"/>
  <c r="T53" i="1"/>
  <c r="S53" i="1"/>
  <c r="U53" i="1" s="1"/>
  <c r="T46" i="1"/>
  <c r="S46" i="1"/>
  <c r="U46" i="1" s="1"/>
  <c r="T45" i="1"/>
  <c r="S45" i="1"/>
  <c r="U45" i="1" s="1"/>
  <c r="T44" i="1"/>
  <c r="U44" i="1"/>
  <c r="O44" i="1"/>
  <c r="P44" i="1"/>
  <c r="Y44" i="1" l="1"/>
  <c r="Q44" i="1"/>
  <c r="P4" i="1"/>
  <c r="O4" i="1"/>
  <c r="Q10" i="1"/>
  <c r="Q14" i="1"/>
  <c r="Q50" i="1"/>
  <c r="Q54" i="1"/>
  <c r="Q70" i="1"/>
  <c r="Q74" i="1"/>
  <c r="Q78" i="1"/>
  <c r="P5" i="1"/>
  <c r="P6" i="1"/>
  <c r="Q6" i="1" s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Q42" i="1" s="1"/>
  <c r="P43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O5" i="1"/>
  <c r="Q5" i="1" s="1"/>
  <c r="O6" i="1"/>
  <c r="O7" i="1"/>
  <c r="O8" i="1"/>
  <c r="O9" i="1"/>
  <c r="Q9" i="1" s="1"/>
  <c r="O10" i="1"/>
  <c r="O11" i="1"/>
  <c r="Q11" i="1" s="1"/>
  <c r="O12" i="1"/>
  <c r="Q12" i="1" s="1"/>
  <c r="O13" i="1"/>
  <c r="Q13" i="1" s="1"/>
  <c r="O14" i="1"/>
  <c r="O15" i="1"/>
  <c r="Q15" i="1" s="1"/>
  <c r="O16" i="1"/>
  <c r="Q16" i="1" s="1"/>
  <c r="O17" i="1"/>
  <c r="Q17" i="1" s="1"/>
  <c r="O18" i="1"/>
  <c r="Q18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Q26" i="1" s="1"/>
  <c r="O27" i="1"/>
  <c r="O28" i="1"/>
  <c r="Q28" i="1" s="1"/>
  <c r="O29" i="1"/>
  <c r="Q29" i="1" s="1"/>
  <c r="O30" i="1"/>
  <c r="Q30" i="1" s="1"/>
  <c r="O31" i="1"/>
  <c r="Q31" i="1" s="1"/>
  <c r="O32" i="1"/>
  <c r="Q32" i="1" s="1"/>
  <c r="O33" i="1"/>
  <c r="Q33" i="1" s="1"/>
  <c r="O34" i="1"/>
  <c r="Q34" i="1" s="1"/>
  <c r="O35" i="1"/>
  <c r="Q35" i="1" s="1"/>
  <c r="O36" i="1"/>
  <c r="Q36" i="1" s="1"/>
  <c r="O37" i="1"/>
  <c r="Q37" i="1" s="1"/>
  <c r="O38" i="1"/>
  <c r="Q38" i="1" s="1"/>
  <c r="O39" i="1"/>
  <c r="Q39" i="1" s="1"/>
  <c r="O40" i="1"/>
  <c r="Q40" i="1" s="1"/>
  <c r="O41" i="1"/>
  <c r="Q41" i="1" s="1"/>
  <c r="O42" i="1"/>
  <c r="O43" i="1"/>
  <c r="Q43" i="1" s="1"/>
  <c r="O45" i="1"/>
  <c r="Q45" i="1" s="1"/>
  <c r="O46" i="1"/>
  <c r="Q46" i="1" s="1"/>
  <c r="O47" i="1"/>
  <c r="O48" i="1"/>
  <c r="O49" i="1"/>
  <c r="Q49" i="1" s="1"/>
  <c r="O50" i="1"/>
  <c r="O51" i="1"/>
  <c r="Q51" i="1" s="1"/>
  <c r="O52" i="1"/>
  <c r="Q52" i="1" s="1"/>
  <c r="O53" i="1"/>
  <c r="Q53" i="1" s="1"/>
  <c r="O54" i="1"/>
  <c r="O55" i="1"/>
  <c r="Q55" i="1" s="1"/>
  <c r="O56" i="1"/>
  <c r="Q56" i="1" s="1"/>
  <c r="O57" i="1"/>
  <c r="Q57" i="1" s="1"/>
  <c r="O58" i="1"/>
  <c r="Q58" i="1" s="1"/>
  <c r="O59" i="1"/>
  <c r="Q59" i="1" s="1"/>
  <c r="O60" i="1"/>
  <c r="Q60" i="1" s="1"/>
  <c r="O61" i="1"/>
  <c r="Q61" i="1" s="1"/>
  <c r="O62" i="1"/>
  <c r="Q62" i="1" s="1"/>
  <c r="O63" i="1"/>
  <c r="O64" i="1"/>
  <c r="Q64" i="1" s="1"/>
  <c r="O65" i="1"/>
  <c r="Q65" i="1" s="1"/>
  <c r="O66" i="1"/>
  <c r="Q66" i="1" s="1"/>
  <c r="O67" i="1"/>
  <c r="O68" i="1"/>
  <c r="O69" i="1"/>
  <c r="Q69" i="1" s="1"/>
  <c r="O70" i="1"/>
  <c r="O71" i="1"/>
  <c r="Q71" i="1" s="1"/>
  <c r="O72" i="1"/>
  <c r="Q72" i="1" s="1"/>
  <c r="O73" i="1"/>
  <c r="Q73" i="1" s="1"/>
  <c r="O74" i="1"/>
  <c r="O75" i="1"/>
  <c r="Q75" i="1" s="1"/>
  <c r="O76" i="1"/>
  <c r="Q76" i="1" s="1"/>
  <c r="O77" i="1"/>
  <c r="Q77" i="1" s="1"/>
  <c r="O78" i="1"/>
  <c r="O79" i="1"/>
  <c r="Q79" i="1" s="1"/>
  <c r="O80" i="1"/>
  <c r="O81" i="1"/>
  <c r="Q81" i="1" s="1"/>
  <c r="O82" i="1"/>
  <c r="Q82" i="1" s="1"/>
  <c r="O83" i="1"/>
  <c r="O84" i="1"/>
  <c r="Q84" i="1" s="1"/>
  <c r="O85" i="1"/>
  <c r="Q85" i="1" s="1"/>
  <c r="O86" i="1"/>
  <c r="Q86" i="1" s="1"/>
  <c r="Q68" i="1" l="1"/>
  <c r="Q48" i="1"/>
  <c r="Q27" i="1"/>
  <c r="Q7" i="1"/>
  <c r="Q67" i="1"/>
  <c r="Q47" i="1"/>
  <c r="Q83" i="1"/>
  <c r="Q63" i="1"/>
  <c r="Q80" i="1"/>
  <c r="Q8" i="1"/>
</calcChain>
</file>

<file path=xl/sharedStrings.xml><?xml version="1.0" encoding="utf-8"?>
<sst xmlns="http://schemas.openxmlformats.org/spreadsheetml/2006/main" count="98" uniqueCount="91">
  <si>
    <t>1er medicion</t>
  </si>
  <si>
    <t>2da medicion</t>
  </si>
  <si>
    <t>3er medicion</t>
  </si>
  <si>
    <t>id_plant</t>
  </si>
  <si>
    <t>1_SUN_CHL_ORD_20230531</t>
  </si>
  <si>
    <t>1_SHADE_CHL_ORD_20230531</t>
  </si>
  <si>
    <t>1_SHADELOW_CHL_ORD_20230531</t>
  </si>
  <si>
    <t>2_SUN_CHL_ORD_20230530</t>
  </si>
  <si>
    <t>2_SHADELOW_CHL_ORD_20230531</t>
  </si>
  <si>
    <t>3_SHADE_CHL_ORD_20230531</t>
  </si>
  <si>
    <t>3_SHADELOW_CHL_ORD_20230531</t>
  </si>
  <si>
    <t>4_SUN_CHL_ORD_20230601</t>
  </si>
  <si>
    <t>4_SHADELOW_CHL_ORD_20230601</t>
  </si>
  <si>
    <t>5_SUN_CHL_ORD_20230531</t>
  </si>
  <si>
    <t>5_SHADE_CHL_ORD_20230531</t>
  </si>
  <si>
    <t>5_SHADELOW_CHL_ORD_20230531</t>
  </si>
  <si>
    <t>6_SUN_CHL_ORD_20230601</t>
  </si>
  <si>
    <t>6_SHADE_CHL_ORD_20230601</t>
  </si>
  <si>
    <t>6_SHADELOW_CHL_ORD_20230601</t>
  </si>
  <si>
    <t>1_CHL_ART_20230607</t>
  </si>
  <si>
    <t>2_CHL_ART_20230607</t>
  </si>
  <si>
    <t>3_CHL_ART_20230607</t>
  </si>
  <si>
    <t>4_CHL_ART_20230607</t>
  </si>
  <si>
    <t>5_CHL_ART_20230607</t>
  </si>
  <si>
    <t>1_CHL_BER_20230608</t>
  </si>
  <si>
    <t>2_CHL_BER_20230608</t>
  </si>
  <si>
    <t>3_CHL_BER_20230608</t>
  </si>
  <si>
    <t>4_CHL_BER_20230608</t>
  </si>
  <si>
    <t>5_CHL_BER_20230608</t>
  </si>
  <si>
    <t>6_CHL_BER_20230608</t>
  </si>
  <si>
    <t>1_CHL_ITU_20230606</t>
  </si>
  <si>
    <t>2_CHL_ITU_20230606</t>
  </si>
  <si>
    <t>3_CHL_ITU_20230606</t>
  </si>
  <si>
    <t>4_CHL_ITU_20230606</t>
  </si>
  <si>
    <t>5_CHL_ITU_20230606</t>
  </si>
  <si>
    <t>6_CHL_ITU_20230606</t>
  </si>
  <si>
    <t>1_CHL_DIU_20230615</t>
  </si>
  <si>
    <t>2_CHL_DIU_20230615</t>
  </si>
  <si>
    <t>3_CHL_DIU_20230615</t>
  </si>
  <si>
    <t>4_CHL_DIU_20230615</t>
  </si>
  <si>
    <t>5_CHL_DIU_20230615</t>
  </si>
  <si>
    <t>6_CHL_DIU_20230615</t>
  </si>
  <si>
    <t>DMSO</t>
  </si>
  <si>
    <t>1_SUN_CHL_ORD_20230823</t>
  </si>
  <si>
    <t>1_SHADE_CHL_ORD_20230823</t>
  </si>
  <si>
    <t>1_SHADELOW_CHL_ORD_20230823</t>
  </si>
  <si>
    <t>2_SUN_CHL_ORD_20230822</t>
  </si>
  <si>
    <t>2_SHADE_CHL_ORD_20230822</t>
  </si>
  <si>
    <t>2_SHADELOW_CHL_ORD_20230822</t>
  </si>
  <si>
    <t>3_SUN_CHL_ORD_20230823</t>
  </si>
  <si>
    <t>3_SHADELOW_CHL_ORD_20230823</t>
  </si>
  <si>
    <t>5_SUN_CHL_ORD_20230824</t>
  </si>
  <si>
    <t>5_SHADE_CHL_ORD_20230824</t>
  </si>
  <si>
    <t>5_SHADELOW_CHL_ORD_20230824</t>
  </si>
  <si>
    <t>6_SUN_CHL_ORD_20230824</t>
  </si>
  <si>
    <t>6_SHADE_CHL_ORD_20230824</t>
  </si>
  <si>
    <t>6_SHADELOW_CHL_ORD_20230824</t>
  </si>
  <si>
    <t>1_CHL_ORD_20230904</t>
  </si>
  <si>
    <t>2_CHL_ORD_20230904</t>
  </si>
  <si>
    <t>3_CHL_ORD_20230904</t>
  </si>
  <si>
    <t>4_CHL_ORD_20230904</t>
  </si>
  <si>
    <t>5_CHL_ORD_20230904</t>
  </si>
  <si>
    <t>6_CHL_ORD_20230904</t>
  </si>
  <si>
    <t>1_CHL_ITU_20230829</t>
  </si>
  <si>
    <t>2_CHL_ITU_20230829</t>
  </si>
  <si>
    <t>3_CHL_ITU_20230829</t>
  </si>
  <si>
    <t>4_CHL_ITU_20230829</t>
  </si>
  <si>
    <t>5_CHL_ITU_20230829</t>
  </si>
  <si>
    <t>6_CHL_ITU_20230829</t>
  </si>
  <si>
    <t>1_CHL_BER_20230830</t>
  </si>
  <si>
    <t>2_CHL_BER_20230830</t>
  </si>
  <si>
    <t>3_CHL_BER_20230830</t>
  </si>
  <si>
    <t>4_CHL_BER_20230830</t>
  </si>
  <si>
    <t>5_CHL_BER_20230830</t>
  </si>
  <si>
    <t>6_CHL_BER_20230830</t>
  </si>
  <si>
    <t>1_CHL_ART_20230831</t>
  </si>
  <si>
    <t>2_CHL_ART_20230831</t>
  </si>
  <si>
    <t>3_CHL_ART_20230831</t>
  </si>
  <si>
    <t>3*_CHL_ART_20230831</t>
  </si>
  <si>
    <t>4_CHL_ART_20230831</t>
  </si>
  <si>
    <t>1_CHL_DIU_20230901</t>
  </si>
  <si>
    <t>2_CHL_DIU_20230901</t>
  </si>
  <si>
    <t>3_CHL_DIU_20230901</t>
  </si>
  <si>
    <t>4_CHL_DIU_20230901</t>
  </si>
  <si>
    <t>5_CHL_DIU_20230901</t>
  </si>
  <si>
    <t>6_CHL_DIU_20230901</t>
  </si>
  <si>
    <t>chla</t>
  </si>
  <si>
    <t>chlb</t>
  </si>
  <si>
    <t>chla-chlb</t>
  </si>
  <si>
    <t>2da_medicion</t>
  </si>
  <si>
    <t>3er_meidicon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</si>
</sst>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3DB3-2208-45EB-AFEE-E9FA690E5A65}">
  <dimension ref="B1:Y87"/>
  <sheetViews>
    <sheetView tabSelected="1" topLeftCell="A10" zoomScale="80" zoomScaleNormal="80" workbookViewId="0">
      <selection activeCell="Q5" sqref="Q5"/>
    </sheetView>
  </sheetViews>
  <sheetFormatPr defaultColWidth="8.7109375" defaultRowHeight="15" x14ac:dyDescent="0.25"/>
  <cols>
    <col min="2" max="2" width="31.85546875" bestFit="1" customWidth="1"/>
    <col min="3" max="3" width="31.85546875" customWidth="1"/>
    <col min="11" max="11" width="11" bestFit="1" customWidth="1"/>
  </cols>
  <sheetData>
    <row r="1" spans="2:25" x14ac:dyDescent="0.25">
      <c r="S1" t="s">
        <v>89</v>
      </c>
      <c r="W1" t="s">
        <v>90</v>
      </c>
    </row>
    <row r="2" spans="2:25" x14ac:dyDescent="0.25">
      <c r="C2" s="1" t="s">
        <v>0</v>
      </c>
      <c r="G2" s="1" t="s">
        <v>1</v>
      </c>
      <c r="K2" s="1" t="s">
        <v>2</v>
      </c>
      <c r="O2" t="s">
        <v>86</v>
      </c>
      <c r="P2" t="s">
        <v>87</v>
      </c>
      <c r="Q2" t="s">
        <v>88</v>
      </c>
      <c r="S2" t="s">
        <v>86</v>
      </c>
      <c r="T2" t="s">
        <v>87</v>
      </c>
      <c r="U2" t="s">
        <v>88</v>
      </c>
      <c r="W2" t="s">
        <v>86</v>
      </c>
      <c r="X2" t="s">
        <v>87</v>
      </c>
      <c r="Y2" t="s">
        <v>88</v>
      </c>
    </row>
    <row r="3" spans="2:25" s="2" customFormat="1" x14ac:dyDescent="0.25">
      <c r="B3" s="2" t="s">
        <v>3</v>
      </c>
      <c r="C3" s="2">
        <v>750</v>
      </c>
      <c r="D3" s="2">
        <v>665</v>
      </c>
      <c r="E3" s="2">
        <v>649</v>
      </c>
      <c r="F3" s="2">
        <v>480</v>
      </c>
      <c r="G3" s="2">
        <v>750</v>
      </c>
      <c r="H3" s="2">
        <v>665</v>
      </c>
      <c r="I3" s="2">
        <v>649</v>
      </c>
      <c r="J3" s="2">
        <v>480</v>
      </c>
      <c r="K3" s="2">
        <v>750</v>
      </c>
      <c r="L3" s="2">
        <v>665</v>
      </c>
      <c r="M3" s="2">
        <v>649</v>
      </c>
      <c r="N3" s="2">
        <v>480</v>
      </c>
      <c r="O3"/>
      <c r="S3"/>
      <c r="W3"/>
    </row>
    <row r="4" spans="2:25" x14ac:dyDescent="0.25">
      <c r="B4" t="s">
        <v>4</v>
      </c>
      <c r="C4">
        <v>6.0999999999999999E-2</v>
      </c>
      <c r="D4">
        <v>0.77200000000000002</v>
      </c>
      <c r="E4">
        <v>0.30049999999999999</v>
      </c>
      <c r="F4">
        <v>0.64100000000000001</v>
      </c>
      <c r="O4" s="1">
        <f>12.47*D4-3.62*E4</f>
        <v>8.5390300000000021</v>
      </c>
      <c r="P4">
        <f>25.06*E4-6.5*D4</f>
        <v>2.5125299999999999</v>
      </c>
      <c r="Q4">
        <f>O4/P4</f>
        <v>3.3985783254329309</v>
      </c>
      <c r="S4" s="1"/>
      <c r="W4" s="1"/>
    </row>
    <row r="5" spans="2:25" x14ac:dyDescent="0.25">
      <c r="B5" t="s">
        <v>5</v>
      </c>
      <c r="C5">
        <v>5.2999999999999999E-2</v>
      </c>
      <c r="D5">
        <v>0.5149999999999999</v>
      </c>
      <c r="E5">
        <v>0.20450000000000002</v>
      </c>
      <c r="F5">
        <v>0.36799999999999999</v>
      </c>
      <c r="O5" s="1">
        <f t="shared" ref="O5:O68" si="0">12.47*D5-3.62*E5</f>
        <v>5.6817599999999988</v>
      </c>
      <c r="P5">
        <f t="shared" ref="P5:P68" si="1">25.06*E5-6.5*D5</f>
        <v>1.7772700000000006</v>
      </c>
      <c r="Q5">
        <f t="shared" ref="Q5:Q68" si="2">O5/P5</f>
        <v>3.1969031154523493</v>
      </c>
      <c r="S5" s="1"/>
      <c r="W5" s="1"/>
    </row>
    <row r="6" spans="2:25" x14ac:dyDescent="0.25">
      <c r="B6" t="s">
        <v>6</v>
      </c>
      <c r="C6">
        <v>7.1999999999999995E-2</v>
      </c>
      <c r="D6">
        <v>0.79400000000000004</v>
      </c>
      <c r="E6">
        <v>0.33449999999999996</v>
      </c>
      <c r="F6">
        <v>0.61399999999999999</v>
      </c>
      <c r="O6" s="1">
        <f t="shared" si="0"/>
        <v>8.6902900000000027</v>
      </c>
      <c r="P6">
        <f t="shared" si="1"/>
        <v>3.2215699999999989</v>
      </c>
      <c r="Q6">
        <f t="shared" si="2"/>
        <v>2.697532569523557</v>
      </c>
      <c r="S6" s="1"/>
      <c r="W6" s="1"/>
    </row>
    <row r="7" spans="2:25" x14ac:dyDescent="0.25">
      <c r="B7" t="s">
        <v>7</v>
      </c>
      <c r="C7">
        <v>5.2999999999999999E-2</v>
      </c>
      <c r="D7">
        <v>0.69799999999999995</v>
      </c>
      <c r="E7">
        <v>0.26650000000000001</v>
      </c>
      <c r="F7">
        <v>0.52200000000000002</v>
      </c>
      <c r="O7" s="1">
        <f t="shared" si="0"/>
        <v>7.7393299999999998</v>
      </c>
      <c r="P7">
        <f t="shared" si="1"/>
        <v>2.1414900000000001</v>
      </c>
      <c r="Q7">
        <f t="shared" si="2"/>
        <v>3.613993060906191</v>
      </c>
      <c r="S7" s="1"/>
      <c r="W7" s="1"/>
    </row>
    <row r="8" spans="2:25" x14ac:dyDescent="0.25">
      <c r="B8" t="s">
        <v>8</v>
      </c>
      <c r="C8">
        <v>5.5E-2</v>
      </c>
      <c r="D8">
        <v>0.54</v>
      </c>
      <c r="E8">
        <v>0.21249999999999997</v>
      </c>
      <c r="F8">
        <v>0.47100000000000003</v>
      </c>
      <c r="O8" s="1">
        <f t="shared" si="0"/>
        <v>5.9645500000000009</v>
      </c>
      <c r="P8">
        <f t="shared" si="1"/>
        <v>1.8152499999999985</v>
      </c>
      <c r="Q8">
        <f t="shared" si="2"/>
        <v>3.2858008538768799</v>
      </c>
      <c r="S8" s="1"/>
      <c r="W8" s="1"/>
    </row>
    <row r="9" spans="2:25" x14ac:dyDescent="0.25">
      <c r="B9" t="s">
        <v>9</v>
      </c>
      <c r="C9">
        <v>5.1999999999999998E-2</v>
      </c>
      <c r="D9">
        <v>0.316</v>
      </c>
      <c r="E9">
        <v>0.11749999999999999</v>
      </c>
      <c r="F9">
        <v>0.23499999999999999</v>
      </c>
      <c r="O9" s="1">
        <f t="shared" si="0"/>
        <v>3.5151700000000003</v>
      </c>
      <c r="P9">
        <f t="shared" si="1"/>
        <v>0.89054999999999973</v>
      </c>
      <c r="Q9">
        <f t="shared" si="2"/>
        <v>3.9471899388018654</v>
      </c>
      <c r="S9" s="1"/>
      <c r="W9" s="1"/>
    </row>
    <row r="10" spans="2:25" x14ac:dyDescent="0.25">
      <c r="B10" t="s">
        <v>10</v>
      </c>
      <c r="C10">
        <v>6.5000000000000002E-2</v>
      </c>
      <c r="D10">
        <v>0.433</v>
      </c>
      <c r="E10">
        <v>0.17749999999999999</v>
      </c>
      <c r="F10">
        <v>0.28799999999999998</v>
      </c>
      <c r="O10" s="1">
        <f t="shared" si="0"/>
        <v>4.7569600000000003</v>
      </c>
      <c r="P10">
        <f t="shared" si="1"/>
        <v>1.6336499999999994</v>
      </c>
      <c r="Q10">
        <f t="shared" si="2"/>
        <v>2.9118599455207677</v>
      </c>
      <c r="S10" s="1"/>
      <c r="W10" s="1"/>
    </row>
    <row r="11" spans="2:25" x14ac:dyDescent="0.25">
      <c r="B11" t="s">
        <v>11</v>
      </c>
      <c r="C11">
        <v>9.2999999999999999E-2</v>
      </c>
      <c r="D11">
        <v>0.6419999999999999</v>
      </c>
      <c r="E11">
        <v>0.26350000000000001</v>
      </c>
      <c r="F11">
        <v>0.51100000000000001</v>
      </c>
      <c r="O11" s="1">
        <f t="shared" si="0"/>
        <v>7.0518699999999992</v>
      </c>
      <c r="P11">
        <f t="shared" si="1"/>
        <v>2.4303100000000004</v>
      </c>
      <c r="Q11">
        <f t="shared" si="2"/>
        <v>2.9016339479325675</v>
      </c>
      <c r="S11" s="1"/>
      <c r="W11" s="1"/>
    </row>
    <row r="12" spans="2:25" x14ac:dyDescent="0.25">
      <c r="B12" t="s">
        <v>12</v>
      </c>
      <c r="C12">
        <v>5.7000000000000002E-2</v>
      </c>
      <c r="D12">
        <v>0.67599999999999993</v>
      </c>
      <c r="E12">
        <v>0.25750000000000001</v>
      </c>
      <c r="F12">
        <v>0.51300000000000001</v>
      </c>
      <c r="O12" s="1">
        <f t="shared" si="0"/>
        <v>7.4975699999999996</v>
      </c>
      <c r="P12">
        <f t="shared" si="1"/>
        <v>2.0589500000000003</v>
      </c>
      <c r="Q12">
        <f t="shared" si="2"/>
        <v>3.6414531678768296</v>
      </c>
      <c r="S12" s="1"/>
      <c r="W12" s="1"/>
    </row>
    <row r="13" spans="2:25" x14ac:dyDescent="0.25">
      <c r="B13" t="s">
        <v>13</v>
      </c>
      <c r="C13">
        <v>5.5E-2</v>
      </c>
      <c r="D13">
        <v>0.59499999999999997</v>
      </c>
      <c r="E13">
        <v>0.22849999999999998</v>
      </c>
      <c r="F13">
        <v>0.47800000000000004</v>
      </c>
      <c r="O13" s="1">
        <f t="shared" si="0"/>
        <v>6.5924800000000001</v>
      </c>
      <c r="P13">
        <f t="shared" si="1"/>
        <v>1.8587099999999994</v>
      </c>
      <c r="Q13">
        <f t="shared" si="2"/>
        <v>3.5468039661916073</v>
      </c>
      <c r="S13" s="1"/>
      <c r="W13" s="1"/>
    </row>
    <row r="14" spans="2:25" x14ac:dyDescent="0.25">
      <c r="B14" t="s">
        <v>14</v>
      </c>
      <c r="C14">
        <v>6.2E-2</v>
      </c>
      <c r="D14">
        <v>0.78200000000000003</v>
      </c>
      <c r="E14">
        <v>0.3125</v>
      </c>
      <c r="F14">
        <v>0.58200000000000007</v>
      </c>
      <c r="O14" s="1">
        <f t="shared" si="0"/>
        <v>8.6202900000000007</v>
      </c>
      <c r="P14">
        <f t="shared" si="1"/>
        <v>2.7482499999999996</v>
      </c>
      <c r="Q14">
        <f t="shared" si="2"/>
        <v>3.1366469571545537</v>
      </c>
      <c r="S14" s="1"/>
      <c r="W14" s="1"/>
    </row>
    <row r="15" spans="2:25" x14ac:dyDescent="0.25">
      <c r="B15" t="s">
        <v>15</v>
      </c>
      <c r="C15">
        <v>5.2999999999999999E-2</v>
      </c>
      <c r="D15">
        <v>0.65399999999999991</v>
      </c>
      <c r="E15">
        <v>0.2545</v>
      </c>
      <c r="F15">
        <v>0.51400000000000001</v>
      </c>
      <c r="O15" s="1">
        <f t="shared" si="0"/>
        <v>7.2340899999999992</v>
      </c>
      <c r="P15">
        <f t="shared" si="1"/>
        <v>2.1267700000000005</v>
      </c>
      <c r="Q15">
        <f t="shared" si="2"/>
        <v>3.4014444439220028</v>
      </c>
      <c r="S15" s="1"/>
      <c r="W15" s="1"/>
    </row>
    <row r="16" spans="2:25" x14ac:dyDescent="0.25">
      <c r="B16" t="s">
        <v>16</v>
      </c>
      <c r="C16">
        <v>5.8999999999999997E-2</v>
      </c>
      <c r="D16">
        <v>0.65700000000000003</v>
      </c>
      <c r="E16">
        <v>0.2505</v>
      </c>
      <c r="F16">
        <v>0.53300000000000003</v>
      </c>
      <c r="O16" s="1">
        <f t="shared" si="0"/>
        <v>7.2859800000000003</v>
      </c>
      <c r="P16">
        <f t="shared" si="1"/>
        <v>2.0070299999999994</v>
      </c>
      <c r="Q16">
        <f t="shared" si="2"/>
        <v>3.630229742455271</v>
      </c>
      <c r="S16" s="1"/>
      <c r="W16" s="1"/>
    </row>
    <row r="17" spans="2:23" x14ac:dyDescent="0.25">
      <c r="B17" t="s">
        <v>17</v>
      </c>
      <c r="C17">
        <v>5.5E-2</v>
      </c>
      <c r="D17">
        <v>0.75</v>
      </c>
      <c r="E17">
        <v>0.28849999999999998</v>
      </c>
      <c r="F17">
        <v>0.6110000000000001</v>
      </c>
      <c r="O17" s="1">
        <f t="shared" si="0"/>
        <v>8.3081300000000002</v>
      </c>
      <c r="P17">
        <f t="shared" si="1"/>
        <v>2.3548099999999987</v>
      </c>
      <c r="Q17">
        <f t="shared" si="2"/>
        <v>3.5281530144682605</v>
      </c>
      <c r="S17" s="1"/>
      <c r="W17" s="1"/>
    </row>
    <row r="18" spans="2:23" x14ac:dyDescent="0.25">
      <c r="B18" t="s">
        <v>18</v>
      </c>
      <c r="C18">
        <v>7.1999999999999995E-2</v>
      </c>
      <c r="D18">
        <v>0.61999999999999988</v>
      </c>
      <c r="E18">
        <v>0.2495</v>
      </c>
      <c r="F18">
        <v>0.55100000000000005</v>
      </c>
      <c r="O18" s="1">
        <f t="shared" si="0"/>
        <v>6.8282099999999986</v>
      </c>
      <c r="P18">
        <f t="shared" si="1"/>
        <v>2.2224700000000004</v>
      </c>
      <c r="Q18">
        <f t="shared" si="2"/>
        <v>3.0723519327594961</v>
      </c>
      <c r="S18" s="1"/>
      <c r="W18" s="1"/>
    </row>
    <row r="19" spans="2:23" x14ac:dyDescent="0.25">
      <c r="B19" t="s">
        <v>19</v>
      </c>
      <c r="C19">
        <v>8.8999999999999996E-2</v>
      </c>
      <c r="D19">
        <v>0.441</v>
      </c>
      <c r="E19">
        <v>0.19450000000000001</v>
      </c>
      <c r="F19">
        <v>0.28899999999999998</v>
      </c>
      <c r="O19" s="1">
        <f t="shared" si="0"/>
        <v>4.7951800000000002</v>
      </c>
      <c r="P19">
        <f t="shared" si="1"/>
        <v>2.0076700000000005</v>
      </c>
      <c r="Q19">
        <f t="shared" si="2"/>
        <v>2.3884303695328413</v>
      </c>
      <c r="S19" s="1"/>
      <c r="W19" s="1"/>
    </row>
    <row r="20" spans="2:23" x14ac:dyDescent="0.25">
      <c r="B20" t="s">
        <v>20</v>
      </c>
      <c r="C20">
        <v>5.3999999999999999E-2</v>
      </c>
      <c r="D20">
        <v>0.46800000000000003</v>
      </c>
      <c r="E20">
        <v>0.1835</v>
      </c>
      <c r="F20">
        <v>0.27599999999999997</v>
      </c>
      <c r="O20" s="1">
        <f t="shared" si="0"/>
        <v>5.1716900000000008</v>
      </c>
      <c r="P20">
        <f t="shared" si="1"/>
        <v>1.5565099999999998</v>
      </c>
      <c r="Q20">
        <f t="shared" si="2"/>
        <v>3.3226191929380482</v>
      </c>
      <c r="S20" s="1"/>
      <c r="W20" s="1"/>
    </row>
    <row r="21" spans="2:23" x14ac:dyDescent="0.25">
      <c r="B21" t="s">
        <v>21</v>
      </c>
      <c r="C21">
        <v>5.3999999999999999E-2</v>
      </c>
      <c r="D21">
        <v>0.36099999999999999</v>
      </c>
      <c r="E21">
        <v>0.13549999999999998</v>
      </c>
      <c r="F21">
        <v>0.23199999999999998</v>
      </c>
      <c r="O21" s="1">
        <f t="shared" si="0"/>
        <v>4.0111600000000003</v>
      </c>
      <c r="P21">
        <f t="shared" si="1"/>
        <v>1.0491299999999995</v>
      </c>
      <c r="Q21">
        <f t="shared" si="2"/>
        <v>3.8233202748944386</v>
      </c>
      <c r="S21" s="1"/>
      <c r="W21" s="1"/>
    </row>
    <row r="22" spans="2:23" x14ac:dyDescent="0.25">
      <c r="B22" t="s">
        <v>22</v>
      </c>
      <c r="C22">
        <v>5.8999999999999997E-2</v>
      </c>
      <c r="D22">
        <v>0.60699999999999998</v>
      </c>
      <c r="E22">
        <v>0.2465</v>
      </c>
      <c r="F22">
        <v>0.35899999999999999</v>
      </c>
      <c r="O22" s="1">
        <f t="shared" si="0"/>
        <v>6.6769600000000002</v>
      </c>
      <c r="P22">
        <f t="shared" si="1"/>
        <v>2.2317899999999993</v>
      </c>
      <c r="Q22">
        <f t="shared" si="2"/>
        <v>2.9917510160006104</v>
      </c>
      <c r="S22" s="1"/>
      <c r="W22" s="1"/>
    </row>
    <row r="23" spans="2:23" x14ac:dyDescent="0.25">
      <c r="B23" t="s">
        <v>23</v>
      </c>
      <c r="C23">
        <v>5.0999999999999997E-2</v>
      </c>
      <c r="D23">
        <v>0.49099999999999994</v>
      </c>
      <c r="E23">
        <v>0.1895</v>
      </c>
      <c r="F23">
        <v>0.27499999999999997</v>
      </c>
      <c r="O23" s="1">
        <f t="shared" si="0"/>
        <v>5.4367799999999988</v>
      </c>
      <c r="P23">
        <f t="shared" si="1"/>
        <v>1.5573700000000006</v>
      </c>
      <c r="Q23">
        <f t="shared" si="2"/>
        <v>3.4910008540038633</v>
      </c>
      <c r="S23" s="1"/>
      <c r="W23" s="1"/>
    </row>
    <row r="24" spans="2:23" x14ac:dyDescent="0.25">
      <c r="B24" t="s">
        <v>24</v>
      </c>
      <c r="C24">
        <v>5.8000000000000003E-2</v>
      </c>
      <c r="D24">
        <v>0.53299999999999992</v>
      </c>
      <c r="E24">
        <v>0.20450000000000002</v>
      </c>
      <c r="F24">
        <v>0.33799999999999997</v>
      </c>
      <c r="O24" s="1">
        <f t="shared" si="0"/>
        <v>5.9062199999999994</v>
      </c>
      <c r="P24">
        <f t="shared" si="1"/>
        <v>1.6602700000000006</v>
      </c>
      <c r="Q24">
        <f t="shared" si="2"/>
        <v>3.5573852445686529</v>
      </c>
      <c r="S24" s="1"/>
      <c r="W24" s="1"/>
    </row>
    <row r="25" spans="2:23" x14ac:dyDescent="0.25">
      <c r="B25" t="s">
        <v>25</v>
      </c>
      <c r="C25">
        <v>0.06</v>
      </c>
      <c r="D25">
        <v>0.56800000000000006</v>
      </c>
      <c r="E25">
        <v>0.22949999999999998</v>
      </c>
      <c r="F25">
        <v>0.33899999999999997</v>
      </c>
      <c r="O25" s="1">
        <f t="shared" si="0"/>
        <v>6.2521700000000013</v>
      </c>
      <c r="P25">
        <f t="shared" si="1"/>
        <v>2.0592699999999988</v>
      </c>
      <c r="Q25">
        <f t="shared" si="2"/>
        <v>3.0361098835995302</v>
      </c>
      <c r="S25" s="1"/>
      <c r="W25" s="1"/>
    </row>
    <row r="26" spans="2:23" x14ac:dyDescent="0.25">
      <c r="B26" t="s">
        <v>26</v>
      </c>
      <c r="C26">
        <v>6.9000000000000006E-2</v>
      </c>
      <c r="D26">
        <v>0.49299999999999994</v>
      </c>
      <c r="E26">
        <v>0.1925</v>
      </c>
      <c r="F26">
        <v>0.33899999999999997</v>
      </c>
      <c r="O26" s="1">
        <f t="shared" si="0"/>
        <v>5.4508599999999987</v>
      </c>
      <c r="P26">
        <f t="shared" si="1"/>
        <v>1.6195500000000003</v>
      </c>
      <c r="Q26">
        <f t="shared" si="2"/>
        <v>3.3656633015343753</v>
      </c>
      <c r="S26" s="1"/>
      <c r="W26" s="1"/>
    </row>
    <row r="27" spans="2:23" x14ac:dyDescent="0.25">
      <c r="B27" t="s">
        <v>27</v>
      </c>
      <c r="C27">
        <v>8.2000000000000003E-2</v>
      </c>
      <c r="D27">
        <v>0.373</v>
      </c>
      <c r="E27">
        <v>0.1575</v>
      </c>
      <c r="F27">
        <v>0.247</v>
      </c>
      <c r="O27" s="1">
        <f t="shared" si="0"/>
        <v>4.0811600000000006</v>
      </c>
      <c r="P27">
        <f t="shared" si="1"/>
        <v>1.5224499999999996</v>
      </c>
      <c r="Q27">
        <f t="shared" si="2"/>
        <v>2.680652895004763</v>
      </c>
      <c r="S27" s="1"/>
      <c r="W27" s="1"/>
    </row>
    <row r="28" spans="2:23" x14ac:dyDescent="0.25">
      <c r="B28" t="s">
        <v>28</v>
      </c>
      <c r="C28">
        <v>5.7000000000000002E-2</v>
      </c>
      <c r="D28">
        <v>0.46400000000000002</v>
      </c>
      <c r="E28">
        <v>0.1835</v>
      </c>
      <c r="F28">
        <v>0.27499999999999997</v>
      </c>
      <c r="O28" s="1">
        <f t="shared" si="0"/>
        <v>5.1218100000000009</v>
      </c>
      <c r="P28">
        <f t="shared" si="1"/>
        <v>1.5825100000000001</v>
      </c>
      <c r="Q28">
        <f t="shared" si="2"/>
        <v>3.2365103538050315</v>
      </c>
      <c r="S28" s="1"/>
      <c r="W28" s="1"/>
    </row>
    <row r="29" spans="2:23" x14ac:dyDescent="0.25">
      <c r="B29" t="s">
        <v>29</v>
      </c>
      <c r="C29">
        <v>5.0999999999999997E-2</v>
      </c>
      <c r="D29">
        <v>0.38900000000000001</v>
      </c>
      <c r="E29">
        <v>0.15049999999999999</v>
      </c>
      <c r="F29">
        <v>0.23099999999999998</v>
      </c>
      <c r="O29" s="1">
        <f t="shared" si="0"/>
        <v>4.3060200000000002</v>
      </c>
      <c r="P29">
        <f t="shared" si="1"/>
        <v>1.2430299999999996</v>
      </c>
      <c r="Q29">
        <f t="shared" si="2"/>
        <v>3.4641320000321807</v>
      </c>
      <c r="S29" s="1"/>
      <c r="W29" s="1"/>
    </row>
    <row r="30" spans="2:23" x14ac:dyDescent="0.25">
      <c r="B30" t="s">
        <v>30</v>
      </c>
      <c r="C30">
        <v>5.7000000000000002E-2</v>
      </c>
      <c r="D30">
        <v>0.38700000000000001</v>
      </c>
      <c r="E30">
        <v>0.1525</v>
      </c>
      <c r="F30">
        <v>0.246</v>
      </c>
      <c r="O30" s="1">
        <f t="shared" si="0"/>
        <v>4.2738399999999999</v>
      </c>
      <c r="P30">
        <f t="shared" si="1"/>
        <v>1.3061499999999993</v>
      </c>
      <c r="Q30">
        <f t="shared" si="2"/>
        <v>3.272089729357273</v>
      </c>
      <c r="S30" s="1"/>
      <c r="W30" s="1"/>
    </row>
    <row r="31" spans="2:23" x14ac:dyDescent="0.25">
      <c r="B31" t="s">
        <v>31</v>
      </c>
      <c r="C31">
        <v>5.5E-2</v>
      </c>
      <c r="D31">
        <v>0.39799999999999996</v>
      </c>
      <c r="E31">
        <v>0.16949999999999998</v>
      </c>
      <c r="F31">
        <v>0.26</v>
      </c>
      <c r="O31" s="1">
        <f t="shared" si="0"/>
        <v>4.3494699999999993</v>
      </c>
      <c r="P31">
        <f t="shared" si="1"/>
        <v>1.6606699999999996</v>
      </c>
      <c r="Q31">
        <f t="shared" si="2"/>
        <v>2.6191055417391778</v>
      </c>
      <c r="S31" s="1"/>
      <c r="W31" s="1"/>
    </row>
    <row r="32" spans="2:23" x14ac:dyDescent="0.25">
      <c r="B32" t="s">
        <v>32</v>
      </c>
      <c r="C32">
        <v>5.5E-2</v>
      </c>
      <c r="D32">
        <v>0.42099999999999999</v>
      </c>
      <c r="E32">
        <v>0.17149999999999999</v>
      </c>
      <c r="F32">
        <v>0.26999999999999996</v>
      </c>
      <c r="O32" s="1">
        <f t="shared" si="0"/>
        <v>4.6290400000000007</v>
      </c>
      <c r="P32">
        <f t="shared" si="1"/>
        <v>1.5612899999999992</v>
      </c>
      <c r="Q32">
        <f t="shared" si="2"/>
        <v>2.9648816043143831</v>
      </c>
      <c r="S32" s="1"/>
      <c r="W32" s="1"/>
    </row>
    <row r="33" spans="2:25" x14ac:dyDescent="0.25">
      <c r="B33" t="s">
        <v>33</v>
      </c>
      <c r="C33">
        <v>5.8999999999999997E-2</v>
      </c>
      <c r="D33">
        <v>0.375</v>
      </c>
      <c r="E33">
        <v>0.1595</v>
      </c>
      <c r="F33">
        <v>0.25600000000000001</v>
      </c>
      <c r="O33" s="1">
        <f t="shared" si="0"/>
        <v>4.0988600000000002</v>
      </c>
      <c r="P33">
        <f t="shared" si="1"/>
        <v>1.5595699999999999</v>
      </c>
      <c r="Q33">
        <f t="shared" si="2"/>
        <v>2.6281987983867352</v>
      </c>
      <c r="S33" s="1"/>
      <c r="W33" s="1"/>
    </row>
    <row r="34" spans="2:25" x14ac:dyDescent="0.25">
      <c r="B34" t="s">
        <v>34</v>
      </c>
      <c r="C34">
        <v>7.0000000000000007E-2</v>
      </c>
      <c r="D34">
        <v>0.49299999999999994</v>
      </c>
      <c r="E34">
        <v>0.20850000000000002</v>
      </c>
      <c r="F34">
        <v>0.32100000000000001</v>
      </c>
      <c r="O34" s="1">
        <f t="shared" si="0"/>
        <v>5.3929399999999994</v>
      </c>
      <c r="P34">
        <f t="shared" si="1"/>
        <v>2.0205100000000007</v>
      </c>
      <c r="Q34">
        <f t="shared" si="2"/>
        <v>2.6690983959495362</v>
      </c>
      <c r="S34" s="1"/>
      <c r="W34" s="1"/>
    </row>
    <row r="35" spans="2:25" x14ac:dyDescent="0.25">
      <c r="B35" t="s">
        <v>35</v>
      </c>
      <c r="C35">
        <v>8.5999999999999993E-2</v>
      </c>
      <c r="D35">
        <v>0.433</v>
      </c>
      <c r="E35">
        <v>0.19550000000000001</v>
      </c>
      <c r="F35">
        <v>0.26700000000000002</v>
      </c>
      <c r="O35" s="1">
        <f t="shared" si="0"/>
        <v>4.6918000000000006</v>
      </c>
      <c r="P35">
        <f t="shared" si="1"/>
        <v>2.0847300000000004</v>
      </c>
      <c r="Q35">
        <f t="shared" si="2"/>
        <v>2.2505552277752994</v>
      </c>
      <c r="S35" s="1"/>
      <c r="W35" s="1"/>
    </row>
    <row r="36" spans="2:25" x14ac:dyDescent="0.25">
      <c r="B36" t="s">
        <v>36</v>
      </c>
      <c r="C36">
        <v>5.7000000000000002E-2</v>
      </c>
      <c r="D36">
        <v>0.50299999999999989</v>
      </c>
      <c r="E36">
        <v>0.20250000000000001</v>
      </c>
      <c r="F36">
        <v>0.27499999999999997</v>
      </c>
      <c r="O36" s="1">
        <f t="shared" si="0"/>
        <v>5.5393599999999985</v>
      </c>
      <c r="P36">
        <f t="shared" si="1"/>
        <v>1.8051500000000007</v>
      </c>
      <c r="Q36">
        <f t="shared" si="2"/>
        <v>3.0686424950835089</v>
      </c>
      <c r="S36" s="1"/>
      <c r="W36" s="1"/>
    </row>
    <row r="37" spans="2:25" x14ac:dyDescent="0.25">
      <c r="B37" t="s">
        <v>37</v>
      </c>
      <c r="C37">
        <v>5.2999999999999999E-2</v>
      </c>
      <c r="D37">
        <v>0.79200000000000004</v>
      </c>
      <c r="E37">
        <v>0.3115</v>
      </c>
      <c r="F37">
        <v>0.49499999999999994</v>
      </c>
      <c r="O37" s="1">
        <f t="shared" si="0"/>
        <v>8.7486100000000011</v>
      </c>
      <c r="P37">
        <f t="shared" si="1"/>
        <v>2.6581899999999994</v>
      </c>
      <c r="Q37">
        <f t="shared" si="2"/>
        <v>3.2911906221902885</v>
      </c>
      <c r="S37" s="1"/>
      <c r="W37" s="1"/>
    </row>
    <row r="38" spans="2:25" x14ac:dyDescent="0.25">
      <c r="B38" t="s">
        <v>38</v>
      </c>
      <c r="C38">
        <v>5.7000000000000002E-2</v>
      </c>
      <c r="D38">
        <v>0.49599999999999994</v>
      </c>
      <c r="E38">
        <v>0.19850000000000001</v>
      </c>
      <c r="F38">
        <v>0.28999999999999998</v>
      </c>
      <c r="O38" s="1">
        <f t="shared" si="0"/>
        <v>5.4665499999999998</v>
      </c>
      <c r="P38">
        <f t="shared" si="1"/>
        <v>1.75041</v>
      </c>
      <c r="Q38">
        <f t="shared" si="2"/>
        <v>3.1230111802377727</v>
      </c>
      <c r="S38" s="1"/>
      <c r="W38" s="1"/>
    </row>
    <row r="39" spans="2:25" x14ac:dyDescent="0.25">
      <c r="B39" t="s">
        <v>39</v>
      </c>
      <c r="C39">
        <v>0.05</v>
      </c>
      <c r="D39">
        <v>0.433</v>
      </c>
      <c r="E39">
        <v>0.1585</v>
      </c>
      <c r="F39">
        <v>0.28199999999999997</v>
      </c>
      <c r="O39" s="1">
        <f t="shared" si="0"/>
        <v>4.8257400000000006</v>
      </c>
      <c r="P39">
        <f t="shared" si="1"/>
        <v>1.1575100000000003</v>
      </c>
      <c r="Q39">
        <f t="shared" si="2"/>
        <v>4.1690698136517179</v>
      </c>
      <c r="S39" s="1"/>
      <c r="W39" s="1"/>
    </row>
    <row r="40" spans="2:25" x14ac:dyDescent="0.25">
      <c r="B40" t="s">
        <v>40</v>
      </c>
      <c r="C40">
        <v>5.7000000000000002E-2</v>
      </c>
      <c r="D40">
        <v>0.56800000000000006</v>
      </c>
      <c r="E40">
        <v>0.22649999999999998</v>
      </c>
      <c r="F40">
        <v>0.33100000000000002</v>
      </c>
      <c r="O40" s="1">
        <f t="shared" si="0"/>
        <v>6.2630300000000005</v>
      </c>
      <c r="P40">
        <f t="shared" si="1"/>
        <v>1.9840899999999992</v>
      </c>
      <c r="Q40">
        <f t="shared" si="2"/>
        <v>3.1566259595078865</v>
      </c>
      <c r="S40" s="1"/>
      <c r="W40" s="1"/>
    </row>
    <row r="41" spans="2:25" x14ac:dyDescent="0.25">
      <c r="B41" t="s">
        <v>41</v>
      </c>
      <c r="C41">
        <v>5.3999999999999999E-2</v>
      </c>
      <c r="D41">
        <v>0.69700000000000006</v>
      </c>
      <c r="E41">
        <v>0.28049999999999997</v>
      </c>
      <c r="F41">
        <v>0.45200000000000001</v>
      </c>
      <c r="O41" s="1">
        <f t="shared" si="0"/>
        <v>7.6761800000000013</v>
      </c>
      <c r="P41">
        <f t="shared" si="1"/>
        <v>2.498829999999999</v>
      </c>
      <c r="Q41">
        <f t="shared" si="2"/>
        <v>3.0719096537179418</v>
      </c>
      <c r="S41" s="1"/>
      <c r="W41" s="1"/>
    </row>
    <row r="42" spans="2:25" x14ac:dyDescent="0.25">
      <c r="B42" t="s">
        <v>42</v>
      </c>
      <c r="C42">
        <v>6.0999999999999999E-2</v>
      </c>
      <c r="D42">
        <v>-1.100000000000001E-2</v>
      </c>
      <c r="E42">
        <v>-1.150000000000001E-2</v>
      </c>
      <c r="F42">
        <v>-1.1999999999999997E-2</v>
      </c>
      <c r="O42" s="1">
        <f t="shared" si="0"/>
        <v>-9.5540000000000097E-2</v>
      </c>
      <c r="P42">
        <f t="shared" si="1"/>
        <v>-0.21669000000000016</v>
      </c>
      <c r="Q42">
        <f t="shared" si="2"/>
        <v>0.4409063639300384</v>
      </c>
      <c r="S42" s="1"/>
      <c r="W42" s="1"/>
    </row>
    <row r="43" spans="2:25" x14ac:dyDescent="0.25">
      <c r="B43" t="s">
        <v>42</v>
      </c>
      <c r="C43">
        <v>8.2000000000000003E-2</v>
      </c>
      <c r="D43">
        <v>1.0999999999999996E-2</v>
      </c>
      <c r="E43">
        <v>1.1499999999999996E-2</v>
      </c>
      <c r="F43">
        <v>1.1999999999999997E-2</v>
      </c>
      <c r="O43" s="1">
        <f t="shared" si="0"/>
        <v>9.5539999999999972E-2</v>
      </c>
      <c r="P43">
        <f t="shared" si="1"/>
        <v>0.21668999999999991</v>
      </c>
      <c r="Q43">
        <f t="shared" si="2"/>
        <v>0.44090636393003835</v>
      </c>
      <c r="S43" s="1"/>
      <c r="W43" s="1"/>
    </row>
    <row r="44" spans="2:25" x14ac:dyDescent="0.25">
      <c r="B44" t="s">
        <v>43</v>
      </c>
      <c r="C44">
        <v>5.5E-2</v>
      </c>
      <c r="D44">
        <v>0.90100000000000002</v>
      </c>
      <c r="E44">
        <v>0.3755</v>
      </c>
      <c r="F44">
        <v>0.67900000000000005</v>
      </c>
      <c r="G44">
        <v>4.2999999999999997E-2</v>
      </c>
      <c r="H44">
        <v>0.72099999999999997</v>
      </c>
      <c r="I44">
        <v>0.33400000000000002</v>
      </c>
      <c r="J44">
        <v>0.55800000000000005</v>
      </c>
      <c r="K44">
        <v>0.05</v>
      </c>
      <c r="L44">
        <v>0.63</v>
      </c>
      <c r="M44">
        <v>0.29799999999999999</v>
      </c>
      <c r="N44">
        <v>0.48799999999999999</v>
      </c>
      <c r="O44" s="1">
        <f t="shared" si="0"/>
        <v>9.8761600000000005</v>
      </c>
      <c r="P44">
        <f t="shared" si="1"/>
        <v>3.5535299999999985</v>
      </c>
      <c r="Q44">
        <f t="shared" si="2"/>
        <v>2.7792533058676878</v>
      </c>
      <c r="S44" s="1">
        <f>12.47*H44-3.62*I44</f>
        <v>7.7817900000000009</v>
      </c>
      <c r="T44">
        <f t="shared" ref="T44:T57" si="3">25.06*I44-6.5*H44</f>
        <v>3.6835399999999998</v>
      </c>
      <c r="U44">
        <f t="shared" ref="U44:U57" si="4">S44/T44</f>
        <v>2.1125846332603966</v>
      </c>
      <c r="W44" s="1">
        <f t="shared" ref="W44" si="5">12.47*L44-3.62*M44</f>
        <v>6.7773400000000006</v>
      </c>
      <c r="X44">
        <f t="shared" ref="X44" si="6">25.06*M44-6.5*L44</f>
        <v>3.3728799999999994</v>
      </c>
      <c r="Y44">
        <f t="shared" ref="Y44" si="7">W44/X44</f>
        <v>2.0093629183368522</v>
      </c>
    </row>
    <row r="45" spans="2:25" x14ac:dyDescent="0.25">
      <c r="B45" t="s">
        <v>44</v>
      </c>
      <c r="C45">
        <v>5.2999999999999999E-2</v>
      </c>
      <c r="D45">
        <v>0.84699999999999998</v>
      </c>
      <c r="E45">
        <v>0.33949999999999997</v>
      </c>
      <c r="F45">
        <v>0.61499999999999999</v>
      </c>
      <c r="G45">
        <v>5.5E-2</v>
      </c>
      <c r="H45">
        <v>0.49399999999999999</v>
      </c>
      <c r="I45">
        <v>0.23599999999999999</v>
      </c>
      <c r="J45">
        <v>0.38</v>
      </c>
      <c r="O45" s="1">
        <f t="shared" si="0"/>
        <v>9.3331</v>
      </c>
      <c r="P45">
        <f t="shared" si="1"/>
        <v>3.0023699999999991</v>
      </c>
      <c r="Q45">
        <f t="shared" si="2"/>
        <v>3.1085775570632541</v>
      </c>
      <c r="S45" s="1">
        <f t="shared" ref="S45:S57" si="8">12.47*H45-3.62*I45</f>
        <v>5.3058600000000009</v>
      </c>
      <c r="T45">
        <f t="shared" si="3"/>
        <v>2.7031599999999991</v>
      </c>
      <c r="U45">
        <f t="shared" si="4"/>
        <v>1.9628360881338887</v>
      </c>
      <c r="W45" s="1"/>
    </row>
    <row r="46" spans="2:25" x14ac:dyDescent="0.25">
      <c r="B46" t="s">
        <v>45</v>
      </c>
      <c r="C46">
        <v>6.0999999999999999E-2</v>
      </c>
      <c r="D46">
        <v>0.85699999999999998</v>
      </c>
      <c r="E46">
        <v>0.34349999999999997</v>
      </c>
      <c r="F46">
        <v>0.71000000000000008</v>
      </c>
      <c r="G46">
        <v>5.1999999999999998E-2</v>
      </c>
      <c r="H46">
        <v>0.54200000000000004</v>
      </c>
      <c r="I46">
        <v>0.252</v>
      </c>
      <c r="J46">
        <v>0.45300000000000001</v>
      </c>
      <c r="O46" s="1">
        <f t="shared" si="0"/>
        <v>9.4433199999999999</v>
      </c>
      <c r="P46">
        <f t="shared" si="1"/>
        <v>3.0376099999999981</v>
      </c>
      <c r="Q46">
        <f t="shared" si="2"/>
        <v>3.1087993521222295</v>
      </c>
      <c r="S46" s="1">
        <f t="shared" si="8"/>
        <v>5.8465000000000007</v>
      </c>
      <c r="T46">
        <f t="shared" si="3"/>
        <v>2.7921199999999993</v>
      </c>
      <c r="U46">
        <f t="shared" si="4"/>
        <v>2.0939286277094116</v>
      </c>
      <c r="W46" s="1"/>
    </row>
    <row r="47" spans="2:25" x14ac:dyDescent="0.25">
      <c r="B47" t="s">
        <v>46</v>
      </c>
      <c r="C47">
        <v>5.6000000000000001E-2</v>
      </c>
      <c r="D47">
        <v>0.47100000000000003</v>
      </c>
      <c r="E47">
        <v>0.1825</v>
      </c>
      <c r="F47">
        <v>0.56500000000000006</v>
      </c>
      <c r="O47" s="1">
        <f t="shared" si="0"/>
        <v>5.2127200000000009</v>
      </c>
      <c r="P47">
        <f t="shared" si="1"/>
        <v>1.5119499999999992</v>
      </c>
      <c r="Q47">
        <f t="shared" si="2"/>
        <v>3.4476801481530499</v>
      </c>
      <c r="S47" s="1"/>
      <c r="W47" s="1"/>
    </row>
    <row r="48" spans="2:25" x14ac:dyDescent="0.25">
      <c r="B48" t="s">
        <v>47</v>
      </c>
      <c r="C48">
        <v>5.3999999999999999E-2</v>
      </c>
      <c r="D48">
        <v>0.7370000000000001</v>
      </c>
      <c r="E48">
        <v>0.28949999999999998</v>
      </c>
      <c r="F48">
        <v>0.49999999999999994</v>
      </c>
      <c r="O48" s="1">
        <f t="shared" si="0"/>
        <v>8.1424000000000021</v>
      </c>
      <c r="P48">
        <f t="shared" si="1"/>
        <v>2.4643699999999988</v>
      </c>
      <c r="Q48">
        <f t="shared" si="2"/>
        <v>3.3040493107771991</v>
      </c>
      <c r="S48" s="1"/>
      <c r="W48" s="1"/>
    </row>
    <row r="49" spans="2:23" x14ac:dyDescent="0.25">
      <c r="B49" t="s">
        <v>48</v>
      </c>
      <c r="C49">
        <v>5.2999999999999999E-2</v>
      </c>
      <c r="D49">
        <v>0.7350000000000001</v>
      </c>
      <c r="E49">
        <v>0.27849999999999997</v>
      </c>
      <c r="F49">
        <v>0.57300000000000006</v>
      </c>
      <c r="O49" s="1">
        <f t="shared" si="0"/>
        <v>8.1572800000000019</v>
      </c>
      <c r="P49">
        <f t="shared" si="1"/>
        <v>2.2017099999999985</v>
      </c>
      <c r="Q49">
        <f t="shared" si="2"/>
        <v>3.7049747696108968</v>
      </c>
      <c r="S49" s="1"/>
      <c r="W49" s="1"/>
    </row>
    <row r="50" spans="2:23" x14ac:dyDescent="0.25">
      <c r="B50" t="s">
        <v>49</v>
      </c>
      <c r="C50">
        <v>5.8999999999999997E-2</v>
      </c>
      <c r="D50">
        <v>0.67599999999999993</v>
      </c>
      <c r="E50">
        <v>0.25850000000000001</v>
      </c>
      <c r="F50">
        <v>0.52200000000000002</v>
      </c>
      <c r="O50" s="1">
        <f t="shared" si="0"/>
        <v>7.4939499999999999</v>
      </c>
      <c r="P50">
        <f t="shared" si="1"/>
        <v>2.084010000000001</v>
      </c>
      <c r="Q50">
        <f t="shared" si="2"/>
        <v>3.5959280425717708</v>
      </c>
      <c r="S50" s="1"/>
      <c r="W50" s="1"/>
    </row>
    <row r="51" spans="2:23" x14ac:dyDescent="0.25">
      <c r="B51" t="s">
        <v>50</v>
      </c>
      <c r="C51">
        <v>7.1999999999999995E-2</v>
      </c>
      <c r="D51">
        <v>0.45200000000000001</v>
      </c>
      <c r="E51">
        <v>0.1845</v>
      </c>
      <c r="F51">
        <v>0.35199999999999998</v>
      </c>
      <c r="O51" s="1">
        <f t="shared" si="0"/>
        <v>4.9685500000000005</v>
      </c>
      <c r="P51">
        <f t="shared" si="1"/>
        <v>1.6855699999999998</v>
      </c>
      <c r="Q51">
        <f t="shared" si="2"/>
        <v>2.9476972181517236</v>
      </c>
      <c r="S51" s="1"/>
      <c r="W51" s="1"/>
    </row>
    <row r="52" spans="2:23" x14ac:dyDescent="0.25">
      <c r="B52" t="s">
        <v>51</v>
      </c>
      <c r="C52">
        <v>6.3E-2</v>
      </c>
      <c r="D52">
        <v>0.71700000000000008</v>
      </c>
      <c r="E52">
        <v>0.28649999999999998</v>
      </c>
      <c r="F52">
        <v>0.69100000000000006</v>
      </c>
      <c r="O52" s="1">
        <f t="shared" si="0"/>
        <v>7.9038600000000017</v>
      </c>
      <c r="P52">
        <f t="shared" si="1"/>
        <v>2.5191899999999983</v>
      </c>
      <c r="Q52">
        <f t="shared" si="2"/>
        <v>3.1374608505114767</v>
      </c>
      <c r="S52" s="1"/>
      <c r="W52" s="1"/>
    </row>
    <row r="53" spans="2:23" x14ac:dyDescent="0.25">
      <c r="B53" t="s">
        <v>52</v>
      </c>
      <c r="C53">
        <v>5.2999999999999999E-2</v>
      </c>
      <c r="D53">
        <v>0.85299999999999998</v>
      </c>
      <c r="E53">
        <v>0.33150000000000002</v>
      </c>
      <c r="F53">
        <v>0.65500000000000003</v>
      </c>
      <c r="G53">
        <v>6.0999999999999999E-2</v>
      </c>
      <c r="H53">
        <v>0.58199999999999996</v>
      </c>
      <c r="I53">
        <v>0.27</v>
      </c>
      <c r="J53">
        <v>0.46100000000000002</v>
      </c>
      <c r="O53" s="1">
        <f t="shared" si="0"/>
        <v>9.4368800000000004</v>
      </c>
      <c r="P53">
        <f t="shared" si="1"/>
        <v>2.7628899999999996</v>
      </c>
      <c r="Q53">
        <f t="shared" si="2"/>
        <v>3.4155829584239696</v>
      </c>
      <c r="S53" s="1">
        <f t="shared" si="8"/>
        <v>6.2801399999999994</v>
      </c>
      <c r="T53">
        <f t="shared" si="3"/>
        <v>2.9832000000000005</v>
      </c>
      <c r="U53">
        <f t="shared" si="4"/>
        <v>2.1051689460981491</v>
      </c>
      <c r="W53" s="1"/>
    </row>
    <row r="54" spans="2:23" x14ac:dyDescent="0.25">
      <c r="B54" t="s">
        <v>53</v>
      </c>
      <c r="C54">
        <v>5.6000000000000001E-2</v>
      </c>
      <c r="D54">
        <v>0.77400000000000002</v>
      </c>
      <c r="E54">
        <v>0.3105</v>
      </c>
      <c r="F54">
        <v>0.56200000000000006</v>
      </c>
      <c r="O54" s="1">
        <f t="shared" si="0"/>
        <v>8.5277700000000003</v>
      </c>
      <c r="P54">
        <f t="shared" si="1"/>
        <v>2.7501299999999986</v>
      </c>
      <c r="Q54">
        <f t="shared" si="2"/>
        <v>3.1008606865857269</v>
      </c>
      <c r="S54" s="1"/>
      <c r="W54" s="1"/>
    </row>
    <row r="55" spans="2:23" x14ac:dyDescent="0.25">
      <c r="B55" t="s">
        <v>54</v>
      </c>
      <c r="C55">
        <v>0.05</v>
      </c>
      <c r="D55">
        <v>0.48200000000000004</v>
      </c>
      <c r="E55">
        <v>0.1875</v>
      </c>
      <c r="F55">
        <v>0.435</v>
      </c>
      <c r="O55" s="1">
        <f t="shared" si="0"/>
        <v>5.3317900000000007</v>
      </c>
      <c r="P55">
        <f t="shared" si="1"/>
        <v>1.5657499999999991</v>
      </c>
      <c r="Q55">
        <f t="shared" si="2"/>
        <v>3.4052626536803472</v>
      </c>
      <c r="S55" s="1"/>
      <c r="W55" s="1"/>
    </row>
    <row r="56" spans="2:23" x14ac:dyDescent="0.25">
      <c r="B56" t="s">
        <v>55</v>
      </c>
      <c r="C56">
        <v>5.7000000000000002E-2</v>
      </c>
      <c r="D56">
        <v>0.82400000000000007</v>
      </c>
      <c r="E56">
        <v>0.3145</v>
      </c>
      <c r="F56">
        <v>0.69000000000000006</v>
      </c>
      <c r="O56" s="1">
        <f t="shared" si="0"/>
        <v>9.1367900000000013</v>
      </c>
      <c r="P56">
        <f t="shared" si="1"/>
        <v>2.5253699999999988</v>
      </c>
      <c r="Q56">
        <f t="shared" si="2"/>
        <v>3.6180005306153182</v>
      </c>
      <c r="S56" s="1"/>
      <c r="W56" s="1"/>
    </row>
    <row r="57" spans="2:23" x14ac:dyDescent="0.25">
      <c r="B57" t="s">
        <v>56</v>
      </c>
      <c r="C57">
        <v>5.6000000000000001E-2</v>
      </c>
      <c r="D57">
        <v>0.95199999999999996</v>
      </c>
      <c r="E57">
        <v>0.3715</v>
      </c>
      <c r="F57">
        <v>0.72100000000000009</v>
      </c>
      <c r="G57">
        <v>7.4999999999999997E-2</v>
      </c>
      <c r="H57">
        <v>0.57899999999999996</v>
      </c>
      <c r="I57">
        <v>0.27800000000000002</v>
      </c>
      <c r="J57">
        <v>0.46600000000000003</v>
      </c>
      <c r="O57" s="1">
        <f t="shared" si="0"/>
        <v>10.52661</v>
      </c>
      <c r="P57">
        <f t="shared" si="1"/>
        <v>3.1217899999999998</v>
      </c>
      <c r="Q57">
        <f t="shared" si="2"/>
        <v>3.3719788967227138</v>
      </c>
      <c r="S57" s="1">
        <f t="shared" si="8"/>
        <v>6.2137700000000002</v>
      </c>
      <c r="T57">
        <f t="shared" si="3"/>
        <v>3.2031800000000006</v>
      </c>
      <c r="U57">
        <f t="shared" si="4"/>
        <v>1.939875373847239</v>
      </c>
      <c r="W57" s="1"/>
    </row>
    <row r="58" spans="2:23" x14ac:dyDescent="0.25">
      <c r="B58" t="s">
        <v>57</v>
      </c>
      <c r="C58">
        <v>5.3999999999999999E-2</v>
      </c>
      <c r="D58">
        <v>0.74099999999999988</v>
      </c>
      <c r="E58">
        <v>0.30449999999999999</v>
      </c>
      <c r="F58">
        <v>0.58000000000000007</v>
      </c>
      <c r="O58" s="1">
        <f t="shared" si="0"/>
        <v>8.1379799999999989</v>
      </c>
      <c r="P58">
        <f t="shared" si="1"/>
        <v>2.8142699999999996</v>
      </c>
      <c r="Q58">
        <f t="shared" si="2"/>
        <v>2.8916841667643829</v>
      </c>
      <c r="S58" s="1"/>
      <c r="W58" s="1"/>
    </row>
    <row r="59" spans="2:23" x14ac:dyDescent="0.25">
      <c r="B59" t="s">
        <v>58</v>
      </c>
      <c r="C59">
        <v>7.0999999999999994E-2</v>
      </c>
      <c r="D59">
        <v>0.754</v>
      </c>
      <c r="E59">
        <v>0.30349999999999999</v>
      </c>
      <c r="F59">
        <v>0.56500000000000006</v>
      </c>
      <c r="O59" s="1">
        <f t="shared" si="0"/>
        <v>8.3037100000000006</v>
      </c>
      <c r="P59">
        <f t="shared" si="1"/>
        <v>2.7047099999999995</v>
      </c>
      <c r="Q59">
        <f t="shared" si="2"/>
        <v>3.0700925422688576</v>
      </c>
      <c r="S59" s="1"/>
      <c r="W59" s="1"/>
    </row>
    <row r="60" spans="2:23" x14ac:dyDescent="0.25">
      <c r="B60" t="s">
        <v>59</v>
      </c>
      <c r="C60">
        <v>4.9000000000000002E-2</v>
      </c>
      <c r="D60">
        <v>0.47800000000000004</v>
      </c>
      <c r="E60">
        <v>0.1825</v>
      </c>
      <c r="F60">
        <v>0.34299999999999997</v>
      </c>
      <c r="O60" s="1">
        <f t="shared" si="0"/>
        <v>5.3000100000000003</v>
      </c>
      <c r="P60">
        <f t="shared" si="1"/>
        <v>1.4664499999999991</v>
      </c>
      <c r="Q60">
        <f t="shared" si="2"/>
        <v>3.6141770943434848</v>
      </c>
      <c r="S60" s="1"/>
      <c r="W60" s="1"/>
    </row>
    <row r="61" spans="2:23" x14ac:dyDescent="0.25">
      <c r="B61" t="s">
        <v>60</v>
      </c>
      <c r="C61">
        <v>0.05</v>
      </c>
      <c r="D61">
        <v>0.75099999999999989</v>
      </c>
      <c r="E61">
        <v>0.28549999999999998</v>
      </c>
      <c r="F61">
        <v>0.51800000000000002</v>
      </c>
      <c r="O61" s="1">
        <f t="shared" si="0"/>
        <v>8.3314599999999999</v>
      </c>
      <c r="P61">
        <f t="shared" si="1"/>
        <v>2.2731300000000001</v>
      </c>
      <c r="Q61">
        <f t="shared" si="2"/>
        <v>3.6651929278131914</v>
      </c>
      <c r="S61" s="1"/>
      <c r="W61" s="1"/>
    </row>
    <row r="62" spans="2:23" x14ac:dyDescent="0.25">
      <c r="B62" t="s">
        <v>61</v>
      </c>
      <c r="C62">
        <v>5.3999999999999999E-2</v>
      </c>
      <c r="D62">
        <v>0.54499999999999993</v>
      </c>
      <c r="E62">
        <v>0.20450000000000002</v>
      </c>
      <c r="F62">
        <v>0.36899999999999999</v>
      </c>
      <c r="O62" s="1">
        <f t="shared" si="0"/>
        <v>6.0558599999999991</v>
      </c>
      <c r="P62">
        <f t="shared" si="1"/>
        <v>1.5822700000000003</v>
      </c>
      <c r="Q62">
        <f t="shared" si="2"/>
        <v>3.8273240344568236</v>
      </c>
      <c r="S62" s="1"/>
      <c r="W62" s="1"/>
    </row>
    <row r="63" spans="2:23" x14ac:dyDescent="0.25">
      <c r="B63" t="s">
        <v>62</v>
      </c>
      <c r="C63">
        <v>4.8000000000000001E-2</v>
      </c>
      <c r="D63">
        <v>0.54800000000000004</v>
      </c>
      <c r="E63">
        <v>0.20550000000000002</v>
      </c>
      <c r="F63">
        <v>0.35399999999999998</v>
      </c>
      <c r="O63" s="1">
        <f t="shared" si="0"/>
        <v>6.0896500000000007</v>
      </c>
      <c r="P63">
        <f t="shared" si="1"/>
        <v>1.5878300000000003</v>
      </c>
      <c r="Q63">
        <f t="shared" si="2"/>
        <v>3.8352027610008625</v>
      </c>
      <c r="S63" s="1"/>
      <c r="W63" s="1"/>
    </row>
    <row r="64" spans="2:23" x14ac:dyDescent="0.25">
      <c r="B64" t="s">
        <v>63</v>
      </c>
      <c r="C64">
        <v>5.1999999999999998E-2</v>
      </c>
      <c r="D64">
        <v>0.42499999999999999</v>
      </c>
      <c r="E64">
        <v>0.17249999999999999</v>
      </c>
      <c r="F64">
        <v>0.27299999999999996</v>
      </c>
      <c r="O64" s="1">
        <f t="shared" si="0"/>
        <v>4.6753</v>
      </c>
      <c r="P64">
        <f t="shared" si="1"/>
        <v>1.5603500000000001</v>
      </c>
      <c r="Q64">
        <f t="shared" si="2"/>
        <v>2.9963149293427755</v>
      </c>
      <c r="S64" s="1"/>
      <c r="W64" s="1"/>
    </row>
    <row r="65" spans="2:23" x14ac:dyDescent="0.25">
      <c r="B65" t="s">
        <v>64</v>
      </c>
      <c r="C65">
        <v>0.05</v>
      </c>
      <c r="D65">
        <v>0.49599999999999994</v>
      </c>
      <c r="E65">
        <v>0.19350000000000001</v>
      </c>
      <c r="F65">
        <v>0.33899999999999997</v>
      </c>
      <c r="O65" s="1">
        <f t="shared" si="0"/>
        <v>5.4846499999999994</v>
      </c>
      <c r="P65">
        <f t="shared" si="1"/>
        <v>1.6251099999999998</v>
      </c>
      <c r="Q65">
        <f t="shared" si="2"/>
        <v>3.3749407732399654</v>
      </c>
      <c r="S65" s="1"/>
      <c r="W65" s="1"/>
    </row>
    <row r="66" spans="2:23" x14ac:dyDescent="0.25">
      <c r="B66" t="s">
        <v>65</v>
      </c>
      <c r="C66">
        <v>5.1999999999999998E-2</v>
      </c>
      <c r="D66">
        <v>0.52600000000000002</v>
      </c>
      <c r="E66">
        <v>0.21049999999999996</v>
      </c>
      <c r="F66">
        <v>0.37</v>
      </c>
      <c r="O66" s="1">
        <f t="shared" si="0"/>
        <v>5.7972100000000006</v>
      </c>
      <c r="P66">
        <f t="shared" si="1"/>
        <v>1.8561299999999989</v>
      </c>
      <c r="Q66">
        <f t="shared" si="2"/>
        <v>3.1232780031571084</v>
      </c>
      <c r="S66" s="1"/>
      <c r="W66" s="1"/>
    </row>
    <row r="67" spans="2:23" x14ac:dyDescent="0.25">
      <c r="B67" t="s">
        <v>66</v>
      </c>
      <c r="C67">
        <v>7.1999999999999995E-2</v>
      </c>
      <c r="D67">
        <v>0.46100000000000002</v>
      </c>
      <c r="E67">
        <v>0.20350000000000001</v>
      </c>
      <c r="F67">
        <v>0.32300000000000001</v>
      </c>
      <c r="O67" s="1">
        <f t="shared" si="0"/>
        <v>5.0120000000000005</v>
      </c>
      <c r="P67">
        <f t="shared" si="1"/>
        <v>2.1032099999999998</v>
      </c>
      <c r="Q67">
        <f t="shared" si="2"/>
        <v>2.3830240441991055</v>
      </c>
      <c r="S67" s="1"/>
      <c r="W67" s="1"/>
    </row>
    <row r="68" spans="2:23" x14ac:dyDescent="0.25">
      <c r="B68" t="s">
        <v>67</v>
      </c>
      <c r="C68">
        <v>0.05</v>
      </c>
      <c r="D68">
        <v>0.63500000000000001</v>
      </c>
      <c r="E68">
        <v>0.2545</v>
      </c>
      <c r="F68">
        <v>0.44900000000000001</v>
      </c>
      <c r="O68" s="1">
        <f t="shared" si="0"/>
        <v>6.9971600000000009</v>
      </c>
      <c r="P68">
        <f t="shared" si="1"/>
        <v>2.2502699999999995</v>
      </c>
      <c r="Q68">
        <f t="shared" si="2"/>
        <v>3.1094757517986742</v>
      </c>
      <c r="S68" s="1"/>
      <c r="W68" s="1"/>
    </row>
    <row r="69" spans="2:23" x14ac:dyDescent="0.25">
      <c r="B69" t="s">
        <v>68</v>
      </c>
      <c r="C69">
        <v>4.9000000000000002E-2</v>
      </c>
      <c r="D69">
        <v>0.55200000000000005</v>
      </c>
      <c r="E69">
        <v>0.21949999999999997</v>
      </c>
      <c r="F69">
        <v>0.35899999999999999</v>
      </c>
      <c r="O69" s="1">
        <f t="shared" ref="O69:O86" si="9">12.47*D69-3.62*E69</f>
        <v>6.0888500000000008</v>
      </c>
      <c r="P69">
        <f t="shared" ref="P69:P86" si="10">25.06*E69-6.5*D69</f>
        <v>1.9126699999999985</v>
      </c>
      <c r="Q69">
        <f t="shared" ref="Q69:Q86" si="11">O69/P69</f>
        <v>3.1834294467942748</v>
      </c>
      <c r="S69" s="1"/>
      <c r="W69" s="1"/>
    </row>
    <row r="70" spans="2:23" x14ac:dyDescent="0.25">
      <c r="B70" t="s">
        <v>69</v>
      </c>
      <c r="C70">
        <v>5.6000000000000001E-2</v>
      </c>
      <c r="D70">
        <v>0.45500000000000002</v>
      </c>
      <c r="E70">
        <v>0.1835</v>
      </c>
      <c r="F70">
        <v>0.28199999999999997</v>
      </c>
      <c r="O70" s="1">
        <f t="shared" si="9"/>
        <v>5.0095800000000006</v>
      </c>
      <c r="P70">
        <f t="shared" si="10"/>
        <v>1.6410100000000001</v>
      </c>
      <c r="Q70">
        <f t="shared" si="11"/>
        <v>3.0527419089463197</v>
      </c>
      <c r="S70" s="1"/>
      <c r="W70" s="1"/>
    </row>
    <row r="71" spans="2:23" x14ac:dyDescent="0.25">
      <c r="B71" t="s">
        <v>70</v>
      </c>
      <c r="C71">
        <v>4.7E-2</v>
      </c>
      <c r="D71">
        <v>0.35799999999999998</v>
      </c>
      <c r="E71">
        <v>0.13349999999999998</v>
      </c>
      <c r="F71">
        <v>0.253</v>
      </c>
      <c r="O71" s="1">
        <f t="shared" si="9"/>
        <v>3.9809900000000003</v>
      </c>
      <c r="P71">
        <f t="shared" si="10"/>
        <v>1.0185099999999996</v>
      </c>
      <c r="Q71">
        <f t="shared" si="11"/>
        <v>3.9086410540888177</v>
      </c>
      <c r="S71" s="1"/>
      <c r="W71" s="1"/>
    </row>
    <row r="72" spans="2:23" x14ac:dyDescent="0.25">
      <c r="B72" t="s">
        <v>71</v>
      </c>
      <c r="C72">
        <v>5.1999999999999998E-2</v>
      </c>
      <c r="D72">
        <v>0.46200000000000002</v>
      </c>
      <c r="E72">
        <v>0.17649999999999999</v>
      </c>
      <c r="F72">
        <v>0.33899999999999997</v>
      </c>
      <c r="O72" s="1">
        <f t="shared" si="9"/>
        <v>5.1222099999999999</v>
      </c>
      <c r="P72">
        <f t="shared" si="10"/>
        <v>1.4200899999999992</v>
      </c>
      <c r="Q72">
        <f t="shared" si="11"/>
        <v>3.6069615306072169</v>
      </c>
      <c r="S72" s="1"/>
      <c r="W72" s="1"/>
    </row>
    <row r="73" spans="2:23" x14ac:dyDescent="0.25">
      <c r="B73" t="s">
        <v>72</v>
      </c>
      <c r="C73">
        <v>5.0999999999999997E-2</v>
      </c>
      <c r="D73">
        <v>0.57400000000000007</v>
      </c>
      <c r="E73">
        <v>0.23149999999999998</v>
      </c>
      <c r="F73">
        <v>0.36799999999999999</v>
      </c>
      <c r="O73" s="1">
        <f t="shared" si="9"/>
        <v>6.3197500000000018</v>
      </c>
      <c r="P73">
        <f t="shared" si="10"/>
        <v>2.0703899999999993</v>
      </c>
      <c r="Q73">
        <f t="shared" si="11"/>
        <v>3.0524442254840896</v>
      </c>
      <c r="S73" s="1"/>
      <c r="W73" s="1"/>
    </row>
    <row r="74" spans="2:23" x14ac:dyDescent="0.25">
      <c r="B74" t="s">
        <v>73</v>
      </c>
      <c r="C74">
        <v>5.0999999999999997E-2</v>
      </c>
      <c r="D74">
        <v>0.504</v>
      </c>
      <c r="E74">
        <v>0.20250000000000001</v>
      </c>
      <c r="F74">
        <v>0.30099999999999999</v>
      </c>
      <c r="O74" s="1">
        <f t="shared" si="9"/>
        <v>5.5518299999999998</v>
      </c>
      <c r="P74">
        <f t="shared" si="10"/>
        <v>1.7986500000000003</v>
      </c>
      <c r="Q74">
        <f t="shared" si="11"/>
        <v>3.0866649987490611</v>
      </c>
      <c r="S74" s="1"/>
      <c r="W74" s="1"/>
    </row>
    <row r="75" spans="2:23" x14ac:dyDescent="0.25">
      <c r="B75" t="s">
        <v>74</v>
      </c>
      <c r="C75">
        <v>6.9000000000000006E-2</v>
      </c>
      <c r="D75">
        <v>0.441</v>
      </c>
      <c r="E75">
        <v>0.1895</v>
      </c>
      <c r="F75">
        <v>0.3</v>
      </c>
      <c r="O75" s="1">
        <f t="shared" si="9"/>
        <v>4.8132799999999998</v>
      </c>
      <c r="P75">
        <f t="shared" si="10"/>
        <v>1.8823700000000003</v>
      </c>
      <c r="Q75">
        <f t="shared" si="11"/>
        <v>2.5570318268990682</v>
      </c>
      <c r="S75" s="1"/>
      <c r="W75" s="1"/>
    </row>
    <row r="76" spans="2:23" x14ac:dyDescent="0.25">
      <c r="B76" t="s">
        <v>75</v>
      </c>
      <c r="C76">
        <v>4.9000000000000002E-2</v>
      </c>
      <c r="D76">
        <v>0.375</v>
      </c>
      <c r="E76">
        <v>0.14849999999999999</v>
      </c>
      <c r="F76">
        <v>0.22499999999999998</v>
      </c>
      <c r="O76" s="1">
        <f t="shared" si="9"/>
        <v>4.1386800000000008</v>
      </c>
      <c r="P76">
        <f t="shared" si="10"/>
        <v>1.2839099999999997</v>
      </c>
      <c r="Q76">
        <f t="shared" si="11"/>
        <v>3.2234969740869701</v>
      </c>
      <c r="S76" s="1"/>
      <c r="W76" s="1"/>
    </row>
    <row r="77" spans="2:23" x14ac:dyDescent="0.25">
      <c r="B77" t="s">
        <v>76</v>
      </c>
      <c r="C77">
        <v>4.8000000000000001E-2</v>
      </c>
      <c r="D77">
        <v>0.51600000000000001</v>
      </c>
      <c r="E77">
        <v>0.20050000000000001</v>
      </c>
      <c r="F77">
        <v>0.34899999999999998</v>
      </c>
      <c r="O77" s="1">
        <f t="shared" si="9"/>
        <v>5.7087100000000008</v>
      </c>
      <c r="P77">
        <f t="shared" si="10"/>
        <v>1.6705300000000003</v>
      </c>
      <c r="Q77">
        <f t="shared" si="11"/>
        <v>3.4173046877338327</v>
      </c>
      <c r="S77" s="1"/>
      <c r="W77" s="1"/>
    </row>
    <row r="78" spans="2:23" x14ac:dyDescent="0.25">
      <c r="B78" t="s">
        <v>77</v>
      </c>
      <c r="C78">
        <v>5.6000000000000001E-2</v>
      </c>
      <c r="D78">
        <v>0.61899999999999999</v>
      </c>
      <c r="E78">
        <v>0.2545</v>
      </c>
      <c r="F78">
        <v>0.40499999999999997</v>
      </c>
      <c r="O78" s="1">
        <f t="shared" si="9"/>
        <v>6.7976400000000003</v>
      </c>
      <c r="P78">
        <f t="shared" si="10"/>
        <v>2.3542699999999996</v>
      </c>
      <c r="Q78">
        <f t="shared" si="11"/>
        <v>2.8873663598482762</v>
      </c>
      <c r="S78" s="1"/>
      <c r="W78" s="1"/>
    </row>
    <row r="79" spans="2:23" x14ac:dyDescent="0.25">
      <c r="B79" t="s">
        <v>78</v>
      </c>
      <c r="C79">
        <v>4.8000000000000001E-2</v>
      </c>
      <c r="D79">
        <v>0.56299999999999994</v>
      </c>
      <c r="E79">
        <v>0.22349999999999998</v>
      </c>
      <c r="F79">
        <v>0.33299999999999996</v>
      </c>
      <c r="O79" s="1">
        <f t="shared" si="9"/>
        <v>6.2115399999999994</v>
      </c>
      <c r="P79">
        <f t="shared" si="10"/>
        <v>1.9414099999999994</v>
      </c>
      <c r="Q79">
        <f t="shared" si="11"/>
        <v>3.1994993329590358</v>
      </c>
      <c r="S79" s="1"/>
      <c r="W79" s="1"/>
    </row>
    <row r="80" spans="2:23" x14ac:dyDescent="0.25">
      <c r="B80" t="s">
        <v>79</v>
      </c>
      <c r="C80">
        <v>5.2999999999999999E-2</v>
      </c>
      <c r="D80">
        <v>0.44600000000000001</v>
      </c>
      <c r="E80">
        <v>0.17449999999999999</v>
      </c>
      <c r="F80">
        <v>0.26300000000000001</v>
      </c>
      <c r="O80" s="1">
        <f t="shared" si="9"/>
        <v>4.9299300000000006</v>
      </c>
      <c r="P80">
        <f t="shared" si="10"/>
        <v>1.4739699999999996</v>
      </c>
      <c r="Q80">
        <f t="shared" si="11"/>
        <v>3.3446610175241029</v>
      </c>
      <c r="S80" s="1"/>
      <c r="W80" s="1"/>
    </row>
    <row r="81" spans="2:23" x14ac:dyDescent="0.25">
      <c r="B81" t="s">
        <v>80</v>
      </c>
      <c r="C81">
        <v>0.05</v>
      </c>
      <c r="D81">
        <v>0.65100000000000002</v>
      </c>
      <c r="E81">
        <v>0.24149999999999999</v>
      </c>
      <c r="F81">
        <v>0.43099999999999999</v>
      </c>
      <c r="O81" s="1">
        <f t="shared" si="9"/>
        <v>7.2437400000000016</v>
      </c>
      <c r="P81">
        <f t="shared" si="10"/>
        <v>1.8204899999999986</v>
      </c>
      <c r="Q81">
        <f t="shared" si="11"/>
        <v>3.979005652324378</v>
      </c>
      <c r="S81" s="1"/>
      <c r="W81" s="1"/>
    </row>
    <row r="82" spans="2:23" x14ac:dyDescent="0.25">
      <c r="B82" t="s">
        <v>81</v>
      </c>
      <c r="C82">
        <v>5.6000000000000001E-2</v>
      </c>
      <c r="D82">
        <v>0.79299999999999993</v>
      </c>
      <c r="E82">
        <v>0.31950000000000001</v>
      </c>
      <c r="F82">
        <v>0.57100000000000006</v>
      </c>
      <c r="O82" s="1">
        <f t="shared" si="9"/>
        <v>8.7321200000000001</v>
      </c>
      <c r="P82">
        <f t="shared" si="10"/>
        <v>2.8521700000000001</v>
      </c>
      <c r="Q82">
        <f t="shared" si="11"/>
        <v>3.0615706637402398</v>
      </c>
      <c r="S82" s="1"/>
      <c r="W82" s="1"/>
    </row>
    <row r="83" spans="2:23" x14ac:dyDescent="0.25">
      <c r="B83" t="s">
        <v>82</v>
      </c>
      <c r="C83">
        <v>6.9000000000000006E-2</v>
      </c>
      <c r="D83">
        <v>0.50800000000000001</v>
      </c>
      <c r="E83">
        <v>0.20450000000000002</v>
      </c>
      <c r="F83">
        <v>0.33699999999999997</v>
      </c>
      <c r="O83" s="1">
        <f t="shared" si="9"/>
        <v>5.5944700000000003</v>
      </c>
      <c r="P83">
        <f t="shared" si="10"/>
        <v>1.8227699999999998</v>
      </c>
      <c r="Q83">
        <f t="shared" si="11"/>
        <v>3.0692133401361668</v>
      </c>
      <c r="S83" s="1"/>
      <c r="W83" s="1"/>
    </row>
    <row r="84" spans="2:23" x14ac:dyDescent="0.25">
      <c r="B84" t="s">
        <v>83</v>
      </c>
      <c r="C84">
        <v>4.9000000000000002E-2</v>
      </c>
      <c r="D84">
        <v>0.46700000000000003</v>
      </c>
      <c r="E84">
        <v>0.16749999999999998</v>
      </c>
      <c r="F84">
        <v>0.28199999999999997</v>
      </c>
      <c r="O84" s="1">
        <f t="shared" si="9"/>
        <v>5.2171400000000006</v>
      </c>
      <c r="P84">
        <f t="shared" si="10"/>
        <v>1.1620499999999994</v>
      </c>
      <c r="Q84">
        <f t="shared" si="11"/>
        <v>4.4896002753754169</v>
      </c>
      <c r="S84" s="1"/>
      <c r="W84" s="1"/>
    </row>
    <row r="85" spans="2:23" x14ac:dyDescent="0.25">
      <c r="B85" t="s">
        <v>84</v>
      </c>
      <c r="C85">
        <v>4.9000000000000002E-2</v>
      </c>
      <c r="D85">
        <v>0.49099999999999994</v>
      </c>
      <c r="E85">
        <v>0.1875</v>
      </c>
      <c r="F85">
        <v>0.32</v>
      </c>
      <c r="O85" s="1">
        <f t="shared" si="9"/>
        <v>5.4440199999999992</v>
      </c>
      <c r="P85">
        <f t="shared" si="10"/>
        <v>1.50725</v>
      </c>
      <c r="Q85">
        <f t="shared" si="11"/>
        <v>3.6118892021894173</v>
      </c>
      <c r="S85" s="1"/>
      <c r="W85" s="1"/>
    </row>
    <row r="86" spans="2:23" x14ac:dyDescent="0.25">
      <c r="B86" t="s">
        <v>85</v>
      </c>
      <c r="C86">
        <v>5.6000000000000001E-2</v>
      </c>
      <c r="D86">
        <v>0.52</v>
      </c>
      <c r="E86">
        <v>0.20050000000000001</v>
      </c>
      <c r="F86">
        <v>0.32700000000000001</v>
      </c>
      <c r="O86" s="1">
        <f t="shared" si="9"/>
        <v>5.7585900000000008</v>
      </c>
      <c r="P86">
        <f t="shared" si="10"/>
        <v>1.6445300000000005</v>
      </c>
      <c r="Q86">
        <f t="shared" si="11"/>
        <v>3.5016630891500911</v>
      </c>
      <c r="S86" s="1"/>
      <c r="W86" s="1"/>
    </row>
    <row r="87" spans="2:23" x14ac:dyDescent="0.25">
      <c r="O87" s="1"/>
      <c r="S8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JESUS LOPEZ CASTRO</dc:creator>
  <cp:lastModifiedBy>Teresa Gimeno</cp:lastModifiedBy>
  <dcterms:created xsi:type="dcterms:W3CDTF">2023-10-06T14:37:57Z</dcterms:created>
  <dcterms:modified xsi:type="dcterms:W3CDTF">2025-11-18T12:35:43Z</dcterms:modified>
</cp:coreProperties>
</file>