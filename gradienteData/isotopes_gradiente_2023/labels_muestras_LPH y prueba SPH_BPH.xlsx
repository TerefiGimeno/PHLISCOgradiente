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af-my.sharepoint.com/personal/t_gimeno_creaf_uab_cat/Documents/terefi/repo/PHLISCOgradiente/gradienteData/isotopes_gradiente_2023/"/>
    </mc:Choice>
  </mc:AlternateContent>
  <xr:revisionPtr revIDLastSave="5" documentId="13_ncr:1_{63CF40C3-79E4-4C26-8E90-C6D6DEC932C1}" xr6:coauthVersionLast="47" xr6:coauthVersionMax="47" xr10:uidLastSave="{7C5D335F-6B7C-4846-9B11-E39E726BAA80}"/>
  <bookViews>
    <workbookView xWindow="-120" yWindow="-120" windowWidth="29040" windowHeight="15840" xr2:uid="{D46D5B61-350F-4181-9171-5C3A95491D92}"/>
  </bookViews>
  <sheets>
    <sheet name="placa_lph_sitios" sheetId="1" r:id="rId1"/>
    <sheet name="placa_prueba_floema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12" i="2"/>
  <c r="L10" i="2"/>
  <c r="L8" i="2"/>
  <c r="L6" i="2"/>
  <c r="L4" i="2"/>
  <c r="G12" i="2"/>
  <c r="G10" i="2"/>
  <c r="G8" i="2"/>
  <c r="G6" i="2"/>
  <c r="G4" i="2"/>
  <c r="G2" i="2"/>
  <c r="J12" i="2"/>
  <c r="J10" i="2"/>
  <c r="J8" i="2"/>
  <c r="J6" i="2"/>
  <c r="J4" i="2"/>
  <c r="J2" i="2"/>
</calcChain>
</file>

<file path=xl/sharedStrings.xml><?xml version="1.0" encoding="utf-8"?>
<sst xmlns="http://schemas.openxmlformats.org/spreadsheetml/2006/main" count="271" uniqueCount="166">
  <si>
    <t>id_lab</t>
  </si>
  <si>
    <t>season</t>
  </si>
  <si>
    <t>site</t>
  </si>
  <si>
    <t>id_samples</t>
  </si>
  <si>
    <t>ug_c_total</t>
  </si>
  <si>
    <t>pocillo</t>
  </si>
  <si>
    <t>Ampl  44</t>
  </si>
  <si>
    <t>d13CVPDB</t>
  </si>
  <si>
    <t>lph1</t>
  </si>
  <si>
    <t>spring</t>
  </si>
  <si>
    <t>monte santiago</t>
  </si>
  <si>
    <t>1 and 2 sun</t>
  </si>
  <si>
    <t>a1</t>
  </si>
  <si>
    <t>lph2</t>
  </si>
  <si>
    <t xml:space="preserve">1 and 2 shade </t>
  </si>
  <si>
    <t>a2</t>
  </si>
  <si>
    <t>lph3</t>
  </si>
  <si>
    <t>5 and 6 sun</t>
  </si>
  <si>
    <t>a3</t>
  </si>
  <si>
    <t>lph4</t>
  </si>
  <si>
    <t>5 and 6 shade</t>
  </si>
  <si>
    <t>a4</t>
  </si>
  <si>
    <t>lph5</t>
  </si>
  <si>
    <t>3 sun</t>
  </si>
  <si>
    <t>a5</t>
  </si>
  <si>
    <t>lph6</t>
  </si>
  <si>
    <t>3 shade</t>
  </si>
  <si>
    <t>a6</t>
  </si>
  <si>
    <t>lph7</t>
  </si>
  <si>
    <t xml:space="preserve">4 sun </t>
  </si>
  <si>
    <t>a7</t>
  </si>
  <si>
    <t>lph8</t>
  </si>
  <si>
    <t>4 shade</t>
  </si>
  <si>
    <t>a8</t>
  </si>
  <si>
    <t>lph9</t>
  </si>
  <si>
    <t xml:space="preserve">1 and 2 shade low </t>
  </si>
  <si>
    <t>a9</t>
  </si>
  <si>
    <t>lph10</t>
  </si>
  <si>
    <t>5 and 6 shade low</t>
  </si>
  <si>
    <t>a10</t>
  </si>
  <si>
    <t>lph11</t>
  </si>
  <si>
    <t>3 shade low</t>
  </si>
  <si>
    <t>a11</t>
  </si>
  <si>
    <t>lph12</t>
  </si>
  <si>
    <t>summer</t>
  </si>
  <si>
    <t>all sun</t>
  </si>
  <si>
    <t>a12</t>
  </si>
  <si>
    <t>lph13</t>
  </si>
  <si>
    <t>all shade</t>
  </si>
  <si>
    <t>b1</t>
  </si>
  <si>
    <t>lph14</t>
  </si>
  <si>
    <t>all shade low</t>
  </si>
  <si>
    <t>b2</t>
  </si>
  <si>
    <t>lph15</t>
  </si>
  <si>
    <t>late summer</t>
  </si>
  <si>
    <t>b3</t>
  </si>
  <si>
    <t>lph16</t>
  </si>
  <si>
    <t>artikutza</t>
  </si>
  <si>
    <t>all</t>
  </si>
  <si>
    <t>b4</t>
  </si>
  <si>
    <t>lph17</t>
  </si>
  <si>
    <t>b5</t>
  </si>
  <si>
    <t>lph18</t>
  </si>
  <si>
    <t>Iturrieta</t>
  </si>
  <si>
    <t>b6</t>
  </si>
  <si>
    <t>lph19</t>
  </si>
  <si>
    <t>b7</t>
  </si>
  <si>
    <t>lph20</t>
  </si>
  <si>
    <t>Bertiz</t>
  </si>
  <si>
    <t>1 and 3</t>
  </si>
  <si>
    <t>b8</t>
  </si>
  <si>
    <t>lph21</t>
  </si>
  <si>
    <t>4 and 5</t>
  </si>
  <si>
    <t>b9</t>
  </si>
  <si>
    <t>lph22</t>
  </si>
  <si>
    <t>b10</t>
  </si>
  <si>
    <t>lph23</t>
  </si>
  <si>
    <t>b11</t>
  </si>
  <si>
    <t>lph24</t>
  </si>
  <si>
    <t xml:space="preserve">1-2-3 and 6 </t>
  </si>
  <si>
    <t>b12</t>
  </si>
  <si>
    <t>lph25</t>
  </si>
  <si>
    <t>c1</t>
  </si>
  <si>
    <t>lph26</t>
  </si>
  <si>
    <t>c2</t>
  </si>
  <si>
    <t>lph27</t>
  </si>
  <si>
    <t>Diustes</t>
  </si>
  <si>
    <t>1-2-5 and 6</t>
  </si>
  <si>
    <t>c3</t>
  </si>
  <si>
    <t>lph28</t>
  </si>
  <si>
    <t>c4</t>
  </si>
  <si>
    <t>lph29</t>
  </si>
  <si>
    <t>c5</t>
  </si>
  <si>
    <t>lph30</t>
  </si>
  <si>
    <t>c6</t>
  </si>
  <si>
    <t>lph31</t>
  </si>
  <si>
    <t>5 and 6</t>
  </si>
  <si>
    <t>c7</t>
  </si>
  <si>
    <t>lph32</t>
  </si>
  <si>
    <t>c8</t>
  </si>
  <si>
    <t>lph33</t>
  </si>
  <si>
    <t>c9</t>
  </si>
  <si>
    <t>ug_c_guille</t>
  </si>
  <si>
    <t>ug_c_sai</t>
  </si>
  <si>
    <t>ug_c_diff</t>
  </si>
  <si>
    <t>OBS_ug_C</t>
  </si>
  <si>
    <t>δ 13CVPDV (‰)</t>
  </si>
  <si>
    <t>δ 13CVPDV_diff</t>
  </si>
  <si>
    <t>OBS</t>
  </si>
  <si>
    <t>sph1</t>
  </si>
  <si>
    <t>late_summer</t>
  </si>
  <si>
    <t>monte santiago_2023</t>
  </si>
  <si>
    <t>1_sph_shl</t>
  </si>
  <si>
    <t xml:space="preserve">Nuestra estimacion de contenido de C fue sobreestimada por 846.64 ug </t>
  </si>
  <si>
    <t>sph2</t>
  </si>
  <si>
    <t>1_sph_shl_2</t>
  </si>
  <si>
    <t>sph3</t>
  </si>
  <si>
    <t>2_sph_shl</t>
  </si>
  <si>
    <t xml:space="preserve">Nuestra estimacion de contenido de C fue subestimada por 14.19 ug </t>
  </si>
  <si>
    <t>sph4</t>
  </si>
  <si>
    <t>2_sph_shl_2</t>
  </si>
  <si>
    <t>sph5</t>
  </si>
  <si>
    <t>3_sph_shl</t>
  </si>
  <si>
    <t xml:space="preserve">Nuestra estimacion de contenido de C fue sobreestimada por 64.17 ug </t>
  </si>
  <si>
    <t>sph6</t>
  </si>
  <si>
    <t>3_sph_shl_2</t>
  </si>
  <si>
    <t>bph1</t>
  </si>
  <si>
    <t>1_bph_norte</t>
  </si>
  <si>
    <t xml:space="preserve">Nuestra estimacion de contenido de C fue subestimada por 2538.28 ug </t>
  </si>
  <si>
    <t>bph2</t>
  </si>
  <si>
    <t>1_bph_norte_2</t>
  </si>
  <si>
    <t>bph3</t>
  </si>
  <si>
    <t>2_bph_norte</t>
  </si>
  <si>
    <t>bph4</t>
  </si>
  <si>
    <t>2_bph_norte_2</t>
  </si>
  <si>
    <t>bph5</t>
  </si>
  <si>
    <t>3_bph_este</t>
  </si>
  <si>
    <t>bph6</t>
  </si>
  <si>
    <t>3_bph_este_2</t>
  </si>
  <si>
    <t>Muestra</t>
  </si>
  <si>
    <t>Nº SAI</t>
  </si>
  <si>
    <t>µg C</t>
  </si>
  <si>
    <t> 2024/03875</t>
  </si>
  <si>
    <t>-28,9</t>
  </si>
  <si>
    <t> 2024/03876</t>
  </si>
  <si>
    <t>-29,2</t>
  </si>
  <si>
    <t> 2024/03877</t>
  </si>
  <si>
    <t>-30,0</t>
  </si>
  <si>
    <t> 2024/03878</t>
  </si>
  <si>
    <t>-29,4</t>
  </si>
  <si>
    <t> 2024/03879</t>
  </si>
  <si>
    <t>-30,4</t>
  </si>
  <si>
    <t> 2024/03880</t>
  </si>
  <si>
    <t>-30,7</t>
  </si>
  <si>
    <t> 2024/03881</t>
  </si>
  <si>
    <t>-26,7</t>
  </si>
  <si>
    <t> 2024/03882</t>
  </si>
  <si>
    <t>-27,1</t>
  </si>
  <si>
    <t> 2024/03883</t>
  </si>
  <si>
    <t>-26,0</t>
  </si>
  <si>
    <t> 2024/03884</t>
  </si>
  <si>
    <t>-26,5</t>
  </si>
  <si>
    <t> 2024/03885</t>
  </si>
  <si>
    <t>-27,9</t>
  </si>
  <si>
    <t> 2024/03886</t>
  </si>
  <si>
    <t>-28,1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</si>
</sst>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9DD2-8D91-40F5-9DDD-E2E438B23BA2}">
  <dimension ref="A1:H34"/>
  <sheetViews>
    <sheetView tabSelected="1" workbookViewId="0">
      <selection activeCell="A19" sqref="A19:XFD20"/>
    </sheetView>
  </sheetViews>
  <sheetFormatPr defaultRowHeight="15"/>
  <cols>
    <col min="1" max="1" width="8.7109375" style="2"/>
    <col min="2" max="2" width="11.28515625" style="2" bestFit="1" customWidth="1"/>
    <col min="3" max="3" width="13.85546875" style="2" bestFit="1" customWidth="1"/>
    <col min="4" max="4" width="16.42578125" style="2" bestFit="1" customWidth="1"/>
    <col min="5" max="5" width="11.85546875" style="2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3">
        <v>13.139101633393835</v>
      </c>
      <c r="F2" s="2" t="s">
        <v>12</v>
      </c>
      <c r="G2">
        <v>4091</v>
      </c>
      <c r="H2">
        <v>-24.865327395329604</v>
      </c>
    </row>
    <row r="3" spans="1:8">
      <c r="A3" s="2" t="s">
        <v>13</v>
      </c>
      <c r="B3" s="2" t="s">
        <v>9</v>
      </c>
      <c r="C3" s="2" t="s">
        <v>10</v>
      </c>
      <c r="D3" s="2" t="s">
        <v>14</v>
      </c>
      <c r="E3" s="3">
        <v>11.944637848539854</v>
      </c>
      <c r="F3" s="2" t="s">
        <v>15</v>
      </c>
      <c r="G3">
        <v>3425</v>
      </c>
      <c r="H3">
        <v>-26.055642888810461</v>
      </c>
    </row>
    <row r="4" spans="1:8">
      <c r="A4" s="2" t="s">
        <v>16</v>
      </c>
      <c r="B4" s="2" t="s">
        <v>9</v>
      </c>
      <c r="C4" s="2" t="s">
        <v>10</v>
      </c>
      <c r="D4" s="2" t="s">
        <v>17</v>
      </c>
      <c r="E4" s="3">
        <v>9.2902738821976669</v>
      </c>
      <c r="F4" s="2" t="s">
        <v>18</v>
      </c>
      <c r="G4">
        <v>1916</v>
      </c>
      <c r="H4">
        <v>-25.339977004160819</v>
      </c>
    </row>
    <row r="5" spans="1:8">
      <c r="A5" s="2" t="s">
        <v>19</v>
      </c>
      <c r="B5" s="2" t="s">
        <v>9</v>
      </c>
      <c r="C5" s="2" t="s">
        <v>10</v>
      </c>
      <c r="D5" s="2" t="s">
        <v>20</v>
      </c>
      <c r="E5" s="3">
        <v>12.475510641808295</v>
      </c>
      <c r="F5" s="2" t="s">
        <v>21</v>
      </c>
      <c r="G5">
        <v>2863</v>
      </c>
      <c r="H5">
        <v>-25.695898647964064</v>
      </c>
    </row>
    <row r="6" spans="1:8">
      <c r="A6" s="2" t="s">
        <v>22</v>
      </c>
      <c r="B6" s="2" t="s">
        <v>9</v>
      </c>
      <c r="C6" s="2" t="s">
        <v>10</v>
      </c>
      <c r="D6" s="2" t="s">
        <v>23</v>
      </c>
      <c r="E6" s="3">
        <v>22.429375515591488</v>
      </c>
      <c r="F6" s="2" t="s">
        <v>24</v>
      </c>
      <c r="G6">
        <v>3635</v>
      </c>
      <c r="H6">
        <v>-24.585786098878007</v>
      </c>
    </row>
    <row r="7" spans="1:8">
      <c r="A7" s="2" t="s">
        <v>25</v>
      </c>
      <c r="B7" s="2" t="s">
        <v>9</v>
      </c>
      <c r="C7" s="2" t="s">
        <v>10</v>
      </c>
      <c r="D7" s="2" t="s">
        <v>26</v>
      </c>
      <c r="E7" s="3">
        <v>15.262592806467584</v>
      </c>
      <c r="F7" s="2" t="s">
        <v>27</v>
      </c>
      <c r="G7">
        <v>2412</v>
      </c>
      <c r="H7">
        <v>-25.82999943727237</v>
      </c>
    </row>
    <row r="8" spans="1:8">
      <c r="A8" s="2" t="s">
        <v>28</v>
      </c>
      <c r="B8" s="2" t="s">
        <v>9</v>
      </c>
      <c r="C8" s="2" t="s">
        <v>10</v>
      </c>
      <c r="D8" s="2" t="s">
        <v>29</v>
      </c>
      <c r="E8" s="3">
        <v>13.271819831710935</v>
      </c>
      <c r="F8" s="2" t="s">
        <v>30</v>
      </c>
      <c r="G8">
        <v>1984</v>
      </c>
      <c r="H8">
        <v>-26.033671312763186</v>
      </c>
    </row>
    <row r="9" spans="1:8">
      <c r="A9" s="2" t="s">
        <v>31</v>
      </c>
      <c r="B9" s="2" t="s">
        <v>9</v>
      </c>
      <c r="C9" s="2" t="s">
        <v>10</v>
      </c>
      <c r="D9" s="2" t="s">
        <v>32</v>
      </c>
      <c r="E9" s="3">
        <v>49.63660617059891</v>
      </c>
      <c r="F9" s="2" t="s">
        <v>33</v>
      </c>
      <c r="G9">
        <v>9332</v>
      </c>
      <c r="H9">
        <v>-28.098621812788839</v>
      </c>
    </row>
    <row r="10" spans="1:8">
      <c r="A10" s="2" t="s">
        <v>34</v>
      </c>
      <c r="B10" s="2" t="s">
        <v>9</v>
      </c>
      <c r="C10" s="2" t="s">
        <v>10</v>
      </c>
      <c r="D10" s="2" t="s">
        <v>35</v>
      </c>
      <c r="E10" s="3">
        <v>14.466283616564937</v>
      </c>
      <c r="F10" s="2" t="s">
        <v>36</v>
      </c>
      <c r="G10">
        <v>3179</v>
      </c>
      <c r="H10">
        <v>-26.174830038350876</v>
      </c>
    </row>
    <row r="11" spans="1:8">
      <c r="A11" s="2" t="s">
        <v>37</v>
      </c>
      <c r="B11" s="2" t="s">
        <v>9</v>
      </c>
      <c r="C11" s="2" t="s">
        <v>10</v>
      </c>
      <c r="D11" s="2" t="s">
        <v>38</v>
      </c>
      <c r="E11" s="3">
        <v>11.281046856954301</v>
      </c>
      <c r="F11" s="2" t="s">
        <v>39</v>
      </c>
      <c r="G11">
        <v>2390</v>
      </c>
      <c r="H11">
        <v>-25.685815881850662</v>
      </c>
    </row>
    <row r="12" spans="1:8">
      <c r="A12" s="2" t="s">
        <v>40</v>
      </c>
      <c r="B12" s="2" t="s">
        <v>9</v>
      </c>
      <c r="C12" s="2" t="s">
        <v>10</v>
      </c>
      <c r="D12" s="2" t="s">
        <v>41</v>
      </c>
      <c r="E12" s="3">
        <v>13.006383435076714</v>
      </c>
      <c r="F12" s="2" t="s">
        <v>42</v>
      </c>
      <c r="G12">
        <v>1651</v>
      </c>
      <c r="H12">
        <v>-26.838276048613025</v>
      </c>
    </row>
    <row r="13" spans="1:8">
      <c r="A13" s="2" t="s">
        <v>43</v>
      </c>
      <c r="B13" s="2" t="s">
        <v>44</v>
      </c>
      <c r="C13" s="2" t="s">
        <v>10</v>
      </c>
      <c r="D13" s="2" t="s">
        <v>45</v>
      </c>
      <c r="E13" s="3">
        <v>17.496682478138901</v>
      </c>
      <c r="F13" s="2" t="s">
        <v>46</v>
      </c>
      <c r="G13">
        <v>11658</v>
      </c>
      <c r="H13">
        <v>-27.421059929967925</v>
      </c>
    </row>
    <row r="14" spans="1:8">
      <c r="A14" s="2" t="s">
        <v>47</v>
      </c>
      <c r="B14" s="2" t="s">
        <v>44</v>
      </c>
      <c r="C14" s="2" t="s">
        <v>10</v>
      </c>
      <c r="D14" s="2" t="s">
        <v>48</v>
      </c>
      <c r="E14" s="3">
        <v>23.203565005774621</v>
      </c>
      <c r="F14" s="2" t="s">
        <v>49</v>
      </c>
      <c r="G14">
        <v>10327</v>
      </c>
      <c r="H14">
        <v>-27.477523420202999</v>
      </c>
    </row>
    <row r="15" spans="1:8">
      <c r="A15" s="2" t="s">
        <v>50</v>
      </c>
      <c r="B15" s="2" t="s">
        <v>44</v>
      </c>
      <c r="C15" s="2" t="s">
        <v>10</v>
      </c>
      <c r="D15" s="2" t="s">
        <v>51</v>
      </c>
      <c r="E15" s="3">
        <v>20.85887683550569</v>
      </c>
      <c r="F15" s="2" t="s">
        <v>52</v>
      </c>
      <c r="G15">
        <v>9958</v>
      </c>
      <c r="H15">
        <v>-27.618682145790689</v>
      </c>
    </row>
    <row r="16" spans="1:8">
      <c r="A16" s="2" t="s">
        <v>53</v>
      </c>
      <c r="B16" s="2" t="s">
        <v>54</v>
      </c>
      <c r="C16" s="2" t="s">
        <v>10</v>
      </c>
      <c r="D16" s="2" t="s">
        <v>51</v>
      </c>
      <c r="E16" s="3">
        <v>45.809898119122245</v>
      </c>
      <c r="F16" s="2" t="s">
        <v>55</v>
      </c>
      <c r="G16">
        <v>9462</v>
      </c>
      <c r="H16">
        <v>-28.492857967823038</v>
      </c>
    </row>
    <row r="17" spans="1:8">
      <c r="A17" s="2" t="s">
        <v>56</v>
      </c>
      <c r="B17" s="2" t="s">
        <v>9</v>
      </c>
      <c r="C17" s="2" t="s">
        <v>57</v>
      </c>
      <c r="D17" s="2" t="s">
        <v>58</v>
      </c>
      <c r="E17" s="3">
        <v>8.9</v>
      </c>
      <c r="F17" s="2" t="s">
        <v>59</v>
      </c>
      <c r="G17">
        <v>8079</v>
      </c>
      <c r="H17">
        <v>-29.548523579896703</v>
      </c>
    </row>
    <row r="18" spans="1:8">
      <c r="A18" s="2" t="s">
        <v>60</v>
      </c>
      <c r="B18" s="2" t="s">
        <v>44</v>
      </c>
      <c r="C18" s="2" t="s">
        <v>57</v>
      </c>
      <c r="D18" s="2" t="s">
        <v>58</v>
      </c>
      <c r="E18" s="3">
        <v>16.058901996370228</v>
      </c>
      <c r="F18" s="2" t="s">
        <v>61</v>
      </c>
      <c r="G18">
        <v>11036</v>
      </c>
      <c r="H18">
        <v>-29.702789901431821</v>
      </c>
    </row>
    <row r="19" spans="1:8">
      <c r="A19" s="2" t="s">
        <v>62</v>
      </c>
      <c r="B19" s="2" t="s">
        <v>9</v>
      </c>
      <c r="C19" s="2" t="s">
        <v>63</v>
      </c>
      <c r="D19" s="2" t="s">
        <v>58</v>
      </c>
      <c r="E19" s="3">
        <v>20.704038937469058</v>
      </c>
      <c r="F19" s="2" t="s">
        <v>64</v>
      </c>
      <c r="G19">
        <v>7891</v>
      </c>
      <c r="H19">
        <v>-28.466642775928179</v>
      </c>
    </row>
    <row r="20" spans="1:8">
      <c r="A20" s="2" t="s">
        <v>65</v>
      </c>
      <c r="B20" s="2" t="s">
        <v>44</v>
      </c>
      <c r="C20" s="2" t="s">
        <v>63</v>
      </c>
      <c r="D20" s="2" t="s">
        <v>58</v>
      </c>
      <c r="E20" s="3">
        <v>18.292991668041587</v>
      </c>
      <c r="F20" s="2" t="s">
        <v>66</v>
      </c>
      <c r="G20">
        <v>12288</v>
      </c>
      <c r="H20">
        <v>-28.533189032276663</v>
      </c>
    </row>
    <row r="21" spans="1:8">
      <c r="A21" s="2" t="s">
        <v>67</v>
      </c>
      <c r="B21" s="2" t="s">
        <v>9</v>
      </c>
      <c r="C21" s="2" t="s">
        <v>68</v>
      </c>
      <c r="D21" s="2" t="s">
        <v>69</v>
      </c>
      <c r="E21" s="3">
        <v>12.475510641808285</v>
      </c>
      <c r="F21" s="2" t="s">
        <v>70</v>
      </c>
      <c r="G21">
        <v>4028</v>
      </c>
      <c r="H21">
        <v>-29.481977323548215</v>
      </c>
    </row>
    <row r="22" spans="1:8">
      <c r="A22" s="2" t="s">
        <v>71</v>
      </c>
      <c r="B22" s="2" t="s">
        <v>9</v>
      </c>
      <c r="C22" s="2" t="s">
        <v>68</v>
      </c>
      <c r="D22" s="2" t="s">
        <v>72</v>
      </c>
      <c r="E22" s="3">
        <v>11.81191965022273</v>
      </c>
      <c r="F22" s="2" t="s">
        <v>73</v>
      </c>
      <c r="G22">
        <v>3611</v>
      </c>
      <c r="H22">
        <v>-28.567470437062244</v>
      </c>
    </row>
    <row r="23" spans="1:8">
      <c r="A23" s="2" t="s">
        <v>74</v>
      </c>
      <c r="B23" s="2" t="s">
        <v>9</v>
      </c>
      <c r="C23" s="2" t="s">
        <v>68</v>
      </c>
      <c r="D23" s="2">
        <v>2</v>
      </c>
      <c r="E23" s="3">
        <v>16.722492987955778</v>
      </c>
      <c r="F23" s="2" t="s">
        <v>75</v>
      </c>
      <c r="G23">
        <v>2813</v>
      </c>
      <c r="H23">
        <v>-28.074423174116667</v>
      </c>
    </row>
    <row r="24" spans="1:8">
      <c r="A24" s="2" t="s">
        <v>76</v>
      </c>
      <c r="B24" s="2" t="s">
        <v>9</v>
      </c>
      <c r="C24" s="2" t="s">
        <v>68</v>
      </c>
      <c r="D24" s="2">
        <v>6</v>
      </c>
      <c r="E24" s="3">
        <v>18.315111367761094</v>
      </c>
      <c r="F24" s="2" t="s">
        <v>77</v>
      </c>
      <c r="G24">
        <v>4353</v>
      </c>
      <c r="H24">
        <v>-30.691909257157</v>
      </c>
    </row>
    <row r="25" spans="1:8">
      <c r="A25" s="2" t="s">
        <v>78</v>
      </c>
      <c r="B25" s="2" t="s">
        <v>44</v>
      </c>
      <c r="C25" s="2" t="s">
        <v>68</v>
      </c>
      <c r="D25" s="2" t="s">
        <v>79</v>
      </c>
      <c r="E25" s="3">
        <v>11.723440851344652</v>
      </c>
      <c r="F25" s="2" t="s">
        <v>80</v>
      </c>
      <c r="G25">
        <v>8911</v>
      </c>
      <c r="H25">
        <v>-28.460593116260135</v>
      </c>
    </row>
    <row r="26" spans="1:8">
      <c r="A26" s="2" t="s">
        <v>81</v>
      </c>
      <c r="B26" s="2" t="s">
        <v>44</v>
      </c>
      <c r="C26" s="2" t="s">
        <v>68</v>
      </c>
      <c r="D26" s="2">
        <v>4</v>
      </c>
      <c r="E26" s="3">
        <v>9.69</v>
      </c>
      <c r="F26" s="2" t="s">
        <v>82</v>
      </c>
      <c r="G26">
        <v>3351</v>
      </c>
      <c r="H26">
        <v>-29.524324941224524</v>
      </c>
    </row>
    <row r="27" spans="1:8">
      <c r="A27" s="2" t="s">
        <v>83</v>
      </c>
      <c r="B27" s="2" t="s">
        <v>44</v>
      </c>
      <c r="C27" s="2" t="s">
        <v>68</v>
      </c>
      <c r="D27" s="2">
        <v>5</v>
      </c>
      <c r="E27" s="3">
        <v>9.56</v>
      </c>
      <c r="F27" s="2" t="s">
        <v>84</v>
      </c>
      <c r="G27">
        <v>3294</v>
      </c>
      <c r="H27">
        <v>-29.735054752994721</v>
      </c>
    </row>
    <row r="28" spans="1:8">
      <c r="A28" s="2" t="s">
        <v>85</v>
      </c>
      <c r="B28" s="2" t="s">
        <v>9</v>
      </c>
      <c r="C28" s="2" t="s">
        <v>86</v>
      </c>
      <c r="D28" s="2" t="s">
        <v>87</v>
      </c>
      <c r="E28" s="3">
        <v>14.200847219930719</v>
      </c>
      <c r="F28" s="2" t="s">
        <v>88</v>
      </c>
      <c r="G28">
        <v>4092</v>
      </c>
      <c r="H28">
        <v>-25.756395244644509</v>
      </c>
    </row>
    <row r="29" spans="1:8">
      <c r="A29" s="2" t="s">
        <v>89</v>
      </c>
      <c r="B29" s="2" t="s">
        <v>9</v>
      </c>
      <c r="C29" s="2" t="s">
        <v>86</v>
      </c>
      <c r="D29" s="2">
        <v>3</v>
      </c>
      <c r="E29" s="3">
        <v>13.006383435076724</v>
      </c>
      <c r="F29" s="2" t="s">
        <v>90</v>
      </c>
      <c r="G29">
        <v>1345</v>
      </c>
      <c r="H29">
        <v>-27.199239075472978</v>
      </c>
    </row>
    <row r="30" spans="1:8">
      <c r="A30" s="2" t="s">
        <v>91</v>
      </c>
      <c r="B30" s="2" t="s">
        <v>9</v>
      </c>
      <c r="C30" s="2" t="s">
        <v>86</v>
      </c>
      <c r="D30" s="2">
        <v>4</v>
      </c>
      <c r="E30" s="3">
        <v>57.997852664576797</v>
      </c>
      <c r="F30" s="2" t="s">
        <v>92</v>
      </c>
      <c r="G30">
        <v>2941</v>
      </c>
      <c r="H30">
        <v>-26.869532623564588</v>
      </c>
    </row>
    <row r="31" spans="1:8">
      <c r="A31" s="2" t="s">
        <v>93</v>
      </c>
      <c r="B31" s="2" t="s">
        <v>44</v>
      </c>
      <c r="C31" s="2" t="s">
        <v>86</v>
      </c>
      <c r="D31" s="2" t="s">
        <v>69</v>
      </c>
      <c r="E31" s="3">
        <v>10.683814964527299</v>
      </c>
      <c r="F31" s="2" t="s">
        <v>94</v>
      </c>
      <c r="G31">
        <v>6674</v>
      </c>
      <c r="H31">
        <v>-27.532978633826733</v>
      </c>
    </row>
    <row r="32" spans="1:8">
      <c r="A32" s="2" t="s">
        <v>95</v>
      </c>
      <c r="B32" s="2" t="s">
        <v>44</v>
      </c>
      <c r="C32" s="2" t="s">
        <v>86</v>
      </c>
      <c r="D32" s="2" t="s">
        <v>96</v>
      </c>
      <c r="E32" s="3">
        <v>11.325286256393348</v>
      </c>
      <c r="F32" s="2" t="s">
        <v>97</v>
      </c>
      <c r="G32">
        <v>5574</v>
      </c>
      <c r="H32">
        <v>-27.741691892374249</v>
      </c>
    </row>
    <row r="33" spans="1:8">
      <c r="A33" s="2" t="s">
        <v>98</v>
      </c>
      <c r="B33" s="2" t="s">
        <v>44</v>
      </c>
      <c r="C33" s="2" t="s">
        <v>86</v>
      </c>
      <c r="D33" s="2">
        <v>2</v>
      </c>
      <c r="E33" s="3">
        <v>14.75383971291865</v>
      </c>
      <c r="F33" s="2" t="s">
        <v>99</v>
      </c>
      <c r="G33">
        <v>3879</v>
      </c>
      <c r="H33">
        <v>-27.222429437533812</v>
      </c>
    </row>
    <row r="34" spans="1:8">
      <c r="A34" s="2" t="s">
        <v>100</v>
      </c>
      <c r="B34" s="2" t="s">
        <v>44</v>
      </c>
      <c r="C34" s="2" t="s">
        <v>86</v>
      </c>
      <c r="D34" s="2">
        <v>4</v>
      </c>
      <c r="E34" s="3">
        <v>9.6</v>
      </c>
      <c r="F34" s="2" t="s">
        <v>101</v>
      </c>
      <c r="G34">
        <v>3575</v>
      </c>
      <c r="H34">
        <v>-27.717493253702074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BB78-8F1D-4179-8E47-DE7E135EF891}">
  <dimension ref="A1:M15"/>
  <sheetViews>
    <sheetView workbookViewId="0">
      <selection activeCell="H20" sqref="H20"/>
    </sheetView>
  </sheetViews>
  <sheetFormatPr defaultColWidth="8.7109375" defaultRowHeight="15"/>
  <cols>
    <col min="1" max="1" width="11.85546875" style="4" bestFit="1" customWidth="1"/>
    <col min="2" max="2" width="26" style="4" customWidth="1"/>
    <col min="3" max="3" width="36" style="4" customWidth="1"/>
    <col min="4" max="4" width="13.42578125" style="4" bestFit="1" customWidth="1"/>
    <col min="5" max="5" width="11.85546875" style="4" bestFit="1" customWidth="1"/>
    <col min="6" max="6" width="7.85546875" style="4" bestFit="1" customWidth="1"/>
    <col min="7" max="7" width="8.42578125" style="4" bestFit="1" customWidth="1"/>
    <col min="8" max="8" width="15.42578125" style="4" customWidth="1"/>
    <col min="9" max="10" width="13.85546875" style="4" bestFit="1" customWidth="1"/>
    <col min="11" max="16384" width="8.7109375" style="4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102</v>
      </c>
      <c r="F1" s="5" t="s">
        <v>103</v>
      </c>
      <c r="G1" s="5" t="s">
        <v>104</v>
      </c>
      <c r="H1" s="4" t="s">
        <v>105</v>
      </c>
      <c r="I1" s="4" t="s">
        <v>106</v>
      </c>
      <c r="J1" s="4" t="s">
        <v>107</v>
      </c>
      <c r="K1" s="4" t="s">
        <v>108</v>
      </c>
    </row>
    <row r="2" spans="1:13">
      <c r="A2" s="4" t="s">
        <v>109</v>
      </c>
      <c r="B2" s="4" t="s">
        <v>110</v>
      </c>
      <c r="C2" s="4" t="s">
        <v>111</v>
      </c>
      <c r="D2" s="4" t="s">
        <v>112</v>
      </c>
      <c r="E2" s="6">
        <v>1666.641557018793</v>
      </c>
      <c r="F2" s="6">
        <v>820</v>
      </c>
      <c r="G2" s="6">
        <f>E2-F2</f>
        <v>846.64155701879304</v>
      </c>
      <c r="H2" s="6" t="s">
        <v>113</v>
      </c>
      <c r="I2" s="6">
        <v>-28.900256299999999</v>
      </c>
      <c r="J2" s="6">
        <f>I2-I3</f>
        <v>0.30130229999999969</v>
      </c>
      <c r="K2" s="6" t="s">
        <v>113</v>
      </c>
      <c r="L2" s="6">
        <f>F2+F3</f>
        <v>1468</v>
      </c>
    </row>
    <row r="3" spans="1:13">
      <c r="A3" s="4" t="s">
        <v>114</v>
      </c>
      <c r="B3" s="4" t="s">
        <v>110</v>
      </c>
      <c r="C3" s="4" t="s">
        <v>111</v>
      </c>
      <c r="D3" s="4" t="s">
        <v>115</v>
      </c>
      <c r="E3" s="6"/>
      <c r="F3" s="6">
        <v>648</v>
      </c>
      <c r="G3" s="6"/>
      <c r="H3" s="6"/>
      <c r="I3" s="6">
        <v>-29.201558599999998</v>
      </c>
      <c r="J3" s="6"/>
      <c r="K3" s="6"/>
      <c r="L3" s="6"/>
      <c r="M3" s="6"/>
    </row>
    <row r="4" spans="1:13">
      <c r="A4" s="4" t="s">
        <v>116</v>
      </c>
      <c r="B4" s="4" t="s">
        <v>110</v>
      </c>
      <c r="C4" s="4" t="s">
        <v>111</v>
      </c>
      <c r="D4" s="4" t="s">
        <v>117</v>
      </c>
      <c r="E4" s="6">
        <v>1279.80718261313</v>
      </c>
      <c r="F4" s="6">
        <v>1294</v>
      </c>
      <c r="G4" s="6">
        <f>E4-F4</f>
        <v>-14.192817386870047</v>
      </c>
      <c r="H4" s="6" t="s">
        <v>118</v>
      </c>
      <c r="I4" s="6">
        <v>-29.967410600000001</v>
      </c>
      <c r="J4" s="6">
        <f>I4-I5</f>
        <v>-0.52098090000000141</v>
      </c>
      <c r="K4" s="6"/>
      <c r="L4" s="6">
        <f>F4+F5</f>
        <v>2245</v>
      </c>
    </row>
    <row r="5" spans="1:13">
      <c r="A5" s="4" t="s">
        <v>119</v>
      </c>
      <c r="B5" s="4" t="s">
        <v>110</v>
      </c>
      <c r="C5" s="4" t="s">
        <v>111</v>
      </c>
      <c r="D5" s="4" t="s">
        <v>120</v>
      </c>
      <c r="E5" s="6"/>
      <c r="F5" s="6">
        <v>951</v>
      </c>
      <c r="G5" s="6"/>
      <c r="H5" s="6"/>
      <c r="I5" s="6">
        <v>-29.446429699999999</v>
      </c>
      <c r="J5" s="6"/>
      <c r="K5" s="6"/>
      <c r="L5" s="6"/>
    </row>
    <row r="6" spans="1:13">
      <c r="A6" s="4" t="s">
        <v>121</v>
      </c>
      <c r="B6" s="4" t="s">
        <v>110</v>
      </c>
      <c r="C6" s="4" t="s">
        <v>111</v>
      </c>
      <c r="D6" s="4" t="s">
        <v>122</v>
      </c>
      <c r="E6" s="6">
        <v>1714.167353407028</v>
      </c>
      <c r="F6" s="6">
        <v>1650</v>
      </c>
      <c r="G6" s="6">
        <f>E6-F6</f>
        <v>64.167353407028031</v>
      </c>
      <c r="H6" s="6" t="s">
        <v>123</v>
      </c>
      <c r="I6" s="6">
        <v>-30.402736999999998</v>
      </c>
      <c r="J6" s="6">
        <f>I6-I7</f>
        <v>0.26099430000000012</v>
      </c>
      <c r="K6" s="6"/>
      <c r="L6" s="6">
        <f>F6+F7</f>
        <v>2933</v>
      </c>
    </row>
    <row r="7" spans="1:13">
      <c r="A7" s="4" t="s">
        <v>124</v>
      </c>
      <c r="B7" s="4" t="s">
        <v>110</v>
      </c>
      <c r="C7" s="4" t="s">
        <v>111</v>
      </c>
      <c r="D7" s="4" t="s">
        <v>125</v>
      </c>
      <c r="E7" s="6"/>
      <c r="F7" s="6">
        <v>1283</v>
      </c>
      <c r="G7" s="6"/>
      <c r="H7" s="6"/>
      <c r="I7" s="6">
        <v>-30.663731299999998</v>
      </c>
      <c r="J7" s="6"/>
      <c r="K7" s="6"/>
      <c r="L7" s="6"/>
    </row>
    <row r="8" spans="1:13">
      <c r="A8" s="4" t="s">
        <v>126</v>
      </c>
      <c r="B8" s="4" t="s">
        <v>44</v>
      </c>
      <c r="C8" s="4" t="s">
        <v>111</v>
      </c>
      <c r="D8" s="4" t="s">
        <v>127</v>
      </c>
      <c r="E8" s="6">
        <v>1676.7160234584753</v>
      </c>
      <c r="F8" s="6">
        <v>4215</v>
      </c>
      <c r="G8" s="6">
        <f>E8-F8</f>
        <v>-2538.2839765415247</v>
      </c>
      <c r="H8" s="6" t="s">
        <v>128</v>
      </c>
      <c r="I8" s="6">
        <v>-26.700447199999999</v>
      </c>
      <c r="J8" s="6">
        <f>I8-I9</f>
        <v>0.37083360000000098</v>
      </c>
      <c r="K8" s="6"/>
      <c r="L8" s="6">
        <f>F8+F9</f>
        <v>7179</v>
      </c>
    </row>
    <row r="9" spans="1:13">
      <c r="A9" s="4" t="s">
        <v>129</v>
      </c>
      <c r="B9" s="4" t="s">
        <v>44</v>
      </c>
      <c r="C9" s="4" t="s">
        <v>111</v>
      </c>
      <c r="D9" s="4" t="s">
        <v>130</v>
      </c>
      <c r="E9" s="6"/>
      <c r="F9" s="6">
        <v>2964</v>
      </c>
      <c r="G9" s="6"/>
      <c r="H9" s="6"/>
      <c r="I9" s="6">
        <v>-27.0712808</v>
      </c>
      <c r="J9" s="6"/>
      <c r="K9" s="6"/>
      <c r="L9" s="6"/>
    </row>
    <row r="10" spans="1:13">
      <c r="A10" s="4" t="s">
        <v>131</v>
      </c>
      <c r="B10" s="4" t="s">
        <v>44</v>
      </c>
      <c r="C10" s="4" t="s">
        <v>111</v>
      </c>
      <c r="D10" s="4" t="s">
        <v>132</v>
      </c>
      <c r="E10" s="6">
        <v>1992.8523120997129</v>
      </c>
      <c r="F10" s="6">
        <v>1589</v>
      </c>
      <c r="G10" s="6">
        <f>E10-F10</f>
        <v>403.85231209971289</v>
      </c>
      <c r="H10" s="6" t="s">
        <v>113</v>
      </c>
      <c r="I10" s="6">
        <v>-25.9597877</v>
      </c>
      <c r="J10" s="6">
        <f>I10-I11</f>
        <v>0.57035820000000115</v>
      </c>
      <c r="K10" s="6"/>
      <c r="L10" s="6">
        <f>F10+F11</f>
        <v>4842</v>
      </c>
    </row>
    <row r="11" spans="1:13">
      <c r="A11" s="4" t="s">
        <v>133</v>
      </c>
      <c r="B11" s="4" t="s">
        <v>44</v>
      </c>
      <c r="C11" s="4" t="s">
        <v>111</v>
      </c>
      <c r="D11" s="4" t="s">
        <v>134</v>
      </c>
      <c r="E11" s="6"/>
      <c r="F11" s="6">
        <v>3253</v>
      </c>
      <c r="G11" s="6"/>
      <c r="H11" s="6"/>
      <c r="I11" s="6">
        <v>-26.530145900000001</v>
      </c>
      <c r="J11" s="6"/>
      <c r="K11" s="6"/>
      <c r="L11" s="6"/>
    </row>
    <row r="12" spans="1:13">
      <c r="A12" s="4" t="s">
        <v>135</v>
      </c>
      <c r="B12" s="4" t="s">
        <v>44</v>
      </c>
      <c r="C12" s="4" t="s">
        <v>111</v>
      </c>
      <c r="D12" s="4" t="s">
        <v>136</v>
      </c>
      <c r="E12" s="6">
        <v>1811.256850804697</v>
      </c>
      <c r="F12" s="6">
        <v>2092</v>
      </c>
      <c r="G12" s="6">
        <f>E12-F12</f>
        <v>-280.74314919530298</v>
      </c>
      <c r="H12" s="6" t="s">
        <v>113</v>
      </c>
      <c r="I12" s="6">
        <v>-27.919764199999999</v>
      </c>
      <c r="J12" s="6">
        <f>I12-I13</f>
        <v>0.19146300000000238</v>
      </c>
      <c r="K12" s="6"/>
      <c r="L12" s="6">
        <f>F12+F13</f>
        <v>5158</v>
      </c>
    </row>
    <row r="13" spans="1:13">
      <c r="A13" s="4" t="s">
        <v>137</v>
      </c>
      <c r="B13" s="4" t="s">
        <v>44</v>
      </c>
      <c r="C13" s="4" t="s">
        <v>111</v>
      </c>
      <c r="D13" s="4" t="s">
        <v>138</v>
      </c>
      <c r="E13" s="6"/>
      <c r="F13" s="6">
        <v>3066</v>
      </c>
      <c r="G13" s="6"/>
      <c r="H13" s="6"/>
      <c r="I13" s="6">
        <v>-28.111227200000002</v>
      </c>
      <c r="J13" s="6"/>
      <c r="K13" s="6"/>
      <c r="L13" s="6"/>
    </row>
    <row r="15" spans="1:13">
      <c r="J15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445E-AA01-44FF-9CFE-67AB722A10F4}">
  <dimension ref="A1:D13"/>
  <sheetViews>
    <sheetView workbookViewId="0">
      <selection sqref="A1:D13"/>
    </sheetView>
  </sheetViews>
  <sheetFormatPr defaultRowHeight="15"/>
  <cols>
    <col min="3" max="3" width="13.85546875" bestFit="1" customWidth="1"/>
  </cols>
  <sheetData>
    <row r="1" spans="1:4">
      <c r="A1" t="s">
        <v>139</v>
      </c>
      <c r="B1" t="s">
        <v>140</v>
      </c>
      <c r="C1" t="s">
        <v>106</v>
      </c>
      <c r="D1" t="s">
        <v>141</v>
      </c>
    </row>
    <row r="2" spans="1:4">
      <c r="A2" t="s">
        <v>109</v>
      </c>
      <c r="B2" t="s">
        <v>142</v>
      </c>
      <c r="C2" t="s">
        <v>143</v>
      </c>
      <c r="D2">
        <v>820</v>
      </c>
    </row>
    <row r="3" spans="1:4">
      <c r="A3" t="s">
        <v>114</v>
      </c>
      <c r="B3" t="s">
        <v>144</v>
      </c>
      <c r="C3" t="s">
        <v>145</v>
      </c>
      <c r="D3">
        <v>648</v>
      </c>
    </row>
    <row r="4" spans="1:4">
      <c r="A4" t="s">
        <v>116</v>
      </c>
      <c r="B4" t="s">
        <v>146</v>
      </c>
      <c r="C4" t="s">
        <v>147</v>
      </c>
      <c r="D4">
        <v>1294</v>
      </c>
    </row>
    <row r="5" spans="1:4">
      <c r="A5" t="s">
        <v>119</v>
      </c>
      <c r="B5" t="s">
        <v>148</v>
      </c>
      <c r="C5" t="s">
        <v>149</v>
      </c>
      <c r="D5">
        <v>951</v>
      </c>
    </row>
    <row r="6" spans="1:4">
      <c r="A6" t="s">
        <v>121</v>
      </c>
      <c r="B6" t="s">
        <v>150</v>
      </c>
      <c r="C6" t="s">
        <v>151</v>
      </c>
      <c r="D6">
        <v>1650</v>
      </c>
    </row>
    <row r="7" spans="1:4">
      <c r="A7" t="s">
        <v>124</v>
      </c>
      <c r="B7" t="s">
        <v>152</v>
      </c>
      <c r="C7" t="s">
        <v>153</v>
      </c>
      <c r="D7">
        <v>1283</v>
      </c>
    </row>
    <row r="8" spans="1:4">
      <c r="A8" t="s">
        <v>126</v>
      </c>
      <c r="B8" t="s">
        <v>154</v>
      </c>
      <c r="C8" t="s">
        <v>155</v>
      </c>
      <c r="D8">
        <v>4215</v>
      </c>
    </row>
    <row r="9" spans="1:4">
      <c r="A9" t="s">
        <v>129</v>
      </c>
      <c r="B9" t="s">
        <v>156</v>
      </c>
      <c r="C9" t="s">
        <v>157</v>
      </c>
      <c r="D9">
        <v>2964</v>
      </c>
    </row>
    <row r="10" spans="1:4">
      <c r="A10" t="s">
        <v>131</v>
      </c>
      <c r="B10" t="s">
        <v>158</v>
      </c>
      <c r="C10" t="s">
        <v>159</v>
      </c>
      <c r="D10">
        <v>1589</v>
      </c>
    </row>
    <row r="11" spans="1:4">
      <c r="A11" t="s">
        <v>133</v>
      </c>
      <c r="B11" t="s">
        <v>160</v>
      </c>
      <c r="C11" t="s">
        <v>161</v>
      </c>
      <c r="D11">
        <v>3253</v>
      </c>
    </row>
    <row r="12" spans="1:4">
      <c r="A12" t="s">
        <v>135</v>
      </c>
      <c r="B12" t="s">
        <v>162</v>
      </c>
      <c r="C12" t="s">
        <v>163</v>
      </c>
      <c r="D12">
        <v>2092</v>
      </c>
    </row>
    <row r="13" spans="1:4">
      <c r="A13" t="s">
        <v>137</v>
      </c>
      <c r="B13" t="s">
        <v>164</v>
      </c>
      <c r="C13" t="s">
        <v>165</v>
      </c>
      <c r="D13">
        <v>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BC3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GUILLERMO DE JESUS LOPEZ CASTRO</dc:creator>
  <cp:keywords/>
  <dc:description/>
  <cp:lastModifiedBy>Teresa Gimeno</cp:lastModifiedBy>
  <cp:revision/>
  <dcterms:created xsi:type="dcterms:W3CDTF">2024-02-01T16:20:04Z</dcterms:created>
  <dcterms:modified xsi:type="dcterms:W3CDTF">2026-08-20T15:07:26Z</dcterms:modified>
  <cp:category/>
  <cp:contentStatus/>
</cp:coreProperties>
</file>