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lopez\Desktop\New folder\"/>
    </mc:Choice>
  </mc:AlternateContent>
  <xr:revisionPtr revIDLastSave="0" documentId="13_ncr:1_{59C77785-22DD-43D9-93B1-2196B7066767}" xr6:coauthVersionLast="36" xr6:coauthVersionMax="36" xr10:uidLastSave="{00000000-0000-0000-0000-000000000000}"/>
  <bookViews>
    <workbookView xWindow="0" yWindow="0" windowWidth="19200" windowHeight="6930" xr2:uid="{92146D74-6C0A-4540-9C1E-01BE52DADB2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7" i="2" l="1"/>
  <c r="AA8" i="2"/>
  <c r="AA9" i="2"/>
  <c r="AA10" i="2"/>
  <c r="AA11" i="2"/>
  <c r="AA12" i="2"/>
  <c r="AA13" i="2"/>
  <c r="AA14" i="2"/>
  <c r="AA15" i="2"/>
  <c r="AA16" i="2"/>
  <c r="AA17" i="2"/>
  <c r="AA6" i="2"/>
  <c r="K4" i="1" l="1"/>
  <c r="K6" i="1"/>
  <c r="K8" i="1"/>
  <c r="K10" i="1"/>
  <c r="K12" i="1"/>
  <c r="K2" i="1"/>
  <c r="N2" i="1"/>
  <c r="N6" i="1"/>
  <c r="G3" i="1"/>
  <c r="G4" i="1"/>
  <c r="I4" i="1" s="1"/>
  <c r="G5" i="1"/>
  <c r="I5" i="1" s="1"/>
  <c r="G6" i="1"/>
  <c r="I6" i="1" s="1"/>
  <c r="G7" i="1"/>
  <c r="I7" i="1" s="1"/>
  <c r="G8" i="1"/>
  <c r="I8" i="1" s="1"/>
  <c r="G9" i="1"/>
  <c r="G10" i="1"/>
  <c r="I10" i="1" s="1"/>
  <c r="G11" i="1"/>
  <c r="I11" i="1" s="1"/>
  <c r="G12" i="1"/>
  <c r="I12" i="1" s="1"/>
  <c r="G13" i="1"/>
  <c r="I13" i="1" s="1"/>
  <c r="G2" i="1"/>
  <c r="I2" i="1" s="1"/>
  <c r="I9" i="1" l="1"/>
  <c r="I3" i="1"/>
  <c r="N12" i="1"/>
  <c r="N10" i="1"/>
  <c r="N8" i="1"/>
</calcChain>
</file>

<file path=xl/sharedStrings.xml><?xml version="1.0" encoding="utf-8"?>
<sst xmlns="http://schemas.openxmlformats.org/spreadsheetml/2006/main" count="103" uniqueCount="59">
  <si>
    <t>id_lab</t>
  </si>
  <si>
    <t>season</t>
  </si>
  <si>
    <t>site</t>
  </si>
  <si>
    <t>id_samples</t>
  </si>
  <si>
    <t>ug_c_guille</t>
  </si>
  <si>
    <t>ug_c_sai</t>
  </si>
  <si>
    <t>ug_c_diff</t>
  </si>
  <si>
    <t>δ 13CVPDV (‰)</t>
  </si>
  <si>
    <t>δ 13CVPDV_diff</t>
  </si>
  <si>
    <t>sph1</t>
  </si>
  <si>
    <t>late_summer</t>
  </si>
  <si>
    <t>monte santiago_2023</t>
  </si>
  <si>
    <t>1_sph_shl</t>
  </si>
  <si>
    <t>sph2</t>
  </si>
  <si>
    <t>1_sph_shl_2</t>
  </si>
  <si>
    <t>sph3</t>
  </si>
  <si>
    <t>2_sph_shl</t>
  </si>
  <si>
    <t>sph4</t>
  </si>
  <si>
    <t>2_sph_shl_2</t>
  </si>
  <si>
    <t>sph5</t>
  </si>
  <si>
    <t>3_sph_shl</t>
  </si>
  <si>
    <t>sph6</t>
  </si>
  <si>
    <t>3_sph_shl_2</t>
  </si>
  <si>
    <t>bph1</t>
  </si>
  <si>
    <t>summer</t>
  </si>
  <si>
    <t>1_bph_norte</t>
  </si>
  <si>
    <t>bph2</t>
  </si>
  <si>
    <t>1_bph_norte_2</t>
  </si>
  <si>
    <t>bph3</t>
  </si>
  <si>
    <t>2_bph_norte</t>
  </si>
  <si>
    <t>bph4</t>
  </si>
  <si>
    <t>2_bph_norte_2</t>
  </si>
  <si>
    <t>bph5</t>
  </si>
  <si>
    <t>3_bph_este</t>
  </si>
  <si>
    <t>bph6</t>
  </si>
  <si>
    <t>3_bph_este_2</t>
  </si>
  <si>
    <t>ug_C_ml</t>
  </si>
  <si>
    <t>Volumen de la muestra dividida en dos (ml)</t>
  </si>
  <si>
    <t>δ 13CVPDV (‰)_sucia</t>
  </si>
  <si>
    <t>δ 13CVPDV (‰)_limpia</t>
  </si>
  <si>
    <t>SPH</t>
  </si>
  <si>
    <t>BPH</t>
  </si>
  <si>
    <t>ug de C guille</t>
  </si>
  <si>
    <t>ug de C sai</t>
  </si>
  <si>
    <t>δ 13CVPDV (‰) parte inferior</t>
  </si>
  <si>
    <t>δ 13CVPDV (‰) parte superior</t>
  </si>
  <si>
    <t>Muestra</t>
  </si>
  <si>
    <t>Vol muestras GOYRI (ml)</t>
  </si>
  <si>
    <t>µg C GOYRI</t>
  </si>
  <si>
    <t xml:space="preserve">SD µg C </t>
  </si>
  <si>
    <t>GOYRI</t>
  </si>
  <si>
    <t xml:space="preserve">µg C </t>
  </si>
  <si>
    <t>SAI</t>
  </si>
  <si>
    <t xml:space="preserve"> parte inferior</t>
  </si>
  <si>
    <t xml:space="preserve"> parte superior</t>
  </si>
  <si>
    <t>µg C/ml GOYRI</t>
  </si>
  <si>
    <t>µg C SAI</t>
  </si>
  <si>
    <t>δ 13CVPDV (‰) inferior</t>
  </si>
  <si>
    <t>δ 13CVPDV (‰)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</si>
</sst>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2" fontId="0" fillId="0" borderId="0" xfId="0" applyNumberFormat="1" applyFill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2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" fontId="0" fillId="0" borderId="0" xfId="0" applyNumberFormat="1"/>
    <xf numFmtId="2" fontId="3" fillId="2" borderId="0" xfId="0" applyNumberFormat="1" applyFont="1" applyFill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2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2" fontId="5" fillId="3" borderId="0" xfId="0" applyNumberFormat="1" applyFont="1" applyFill="1" applyBorder="1" applyAlignment="1">
      <alignment horizontal="center"/>
    </xf>
    <xf numFmtId="1" fontId="5" fillId="3" borderId="0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2" fontId="5" fillId="3" borderId="3" xfId="0" applyNumberFormat="1" applyFont="1" applyFill="1" applyBorder="1" applyAlignment="1">
      <alignment horizontal="center"/>
    </xf>
    <xf numFmtId="1" fontId="5" fillId="3" borderId="3" xfId="0" applyNumberFormat="1" applyFont="1" applyFill="1" applyBorder="1" applyAlignment="1">
      <alignment horizontal="center"/>
    </xf>
    <xf numFmtId="0" fontId="5" fillId="3" borderId="0" xfId="0" applyFont="1" applyFill="1"/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µg de C en floemas de tallo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GOYRI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Sheet2!$S$6:$S$11</c:f>
              <c:strCache>
                <c:ptCount val="6"/>
                <c:pt idx="0">
                  <c:v>1_sph_shl</c:v>
                </c:pt>
                <c:pt idx="1">
                  <c:v>1_sph_shl_2</c:v>
                </c:pt>
                <c:pt idx="2">
                  <c:v>2_sph_shl</c:v>
                </c:pt>
                <c:pt idx="3">
                  <c:v>2_sph_shl_2</c:v>
                </c:pt>
                <c:pt idx="4">
                  <c:v>3_sph_shl</c:v>
                </c:pt>
                <c:pt idx="5">
                  <c:v>3_sph_shl_2</c:v>
                </c:pt>
              </c:strCache>
            </c:strRef>
          </c:xVal>
          <c:yVal>
            <c:numRef>
              <c:f>Sheet2!$V$6:$V$11</c:f>
              <c:numCache>
                <c:formatCode>0</c:formatCode>
                <c:ptCount val="6"/>
                <c:pt idx="0">
                  <c:v>511.2397414168077</c:v>
                </c:pt>
                <c:pt idx="1">
                  <c:v>511.2397414168077</c:v>
                </c:pt>
                <c:pt idx="2">
                  <c:v>392.57889037212578</c:v>
                </c:pt>
                <c:pt idx="3">
                  <c:v>392.57889037212578</c:v>
                </c:pt>
                <c:pt idx="4">
                  <c:v>525.81820656657305</c:v>
                </c:pt>
                <c:pt idx="5">
                  <c:v>525.81820656657305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07-4A63-8A67-45D25429A8AE}"/>
            </c:ext>
          </c:extLst>
        </c:ser>
        <c:ser>
          <c:idx val="1"/>
          <c:order val="1"/>
          <c:tx>
            <c:v>SAI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Sheet2!$S$6:$S$11</c:f>
              <c:strCache>
                <c:ptCount val="6"/>
                <c:pt idx="0">
                  <c:v>1_sph_shl</c:v>
                </c:pt>
                <c:pt idx="1">
                  <c:v>1_sph_shl_2</c:v>
                </c:pt>
                <c:pt idx="2">
                  <c:v>2_sph_shl</c:v>
                </c:pt>
                <c:pt idx="3">
                  <c:v>2_sph_shl_2</c:v>
                </c:pt>
                <c:pt idx="4">
                  <c:v>3_sph_shl</c:v>
                </c:pt>
                <c:pt idx="5">
                  <c:v>3_sph_shl_2</c:v>
                </c:pt>
              </c:strCache>
            </c:strRef>
          </c:xVal>
          <c:yVal>
            <c:numRef>
              <c:f>Sheet2!$W$6:$W$11</c:f>
              <c:numCache>
                <c:formatCode>General</c:formatCode>
                <c:ptCount val="6"/>
                <c:pt idx="0">
                  <c:v>820</c:v>
                </c:pt>
                <c:pt idx="1">
                  <c:v>648</c:v>
                </c:pt>
                <c:pt idx="2">
                  <c:v>1294</c:v>
                </c:pt>
                <c:pt idx="3">
                  <c:v>951</c:v>
                </c:pt>
                <c:pt idx="4">
                  <c:v>1650</c:v>
                </c:pt>
                <c:pt idx="5">
                  <c:v>1283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07-4A63-8A67-45D25429A8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69381183"/>
        <c:axId val="910256319"/>
      </c:scatterChart>
      <c:valAx>
        <c:axId val="116938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Muestras</a:t>
                </a:r>
                <a:r>
                  <a:rPr lang="en-GB" baseline="0"/>
                  <a:t> de floema del tallo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256319"/>
        <c:crosses val="autoZero"/>
        <c:crossBetween val="midCat"/>
      </c:valAx>
      <c:valAx>
        <c:axId val="91025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µg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81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µg de C en floemas de la base</a:t>
            </a:r>
            <a:endParaRPr lang="en-GB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GOYRI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Sheet2!$S$12:$S$17</c:f>
              <c:strCache>
                <c:ptCount val="6"/>
                <c:pt idx="0">
                  <c:v>1_bph_norte</c:v>
                </c:pt>
                <c:pt idx="1">
                  <c:v>1_bph_norte_2</c:v>
                </c:pt>
                <c:pt idx="2">
                  <c:v>2_bph_norte</c:v>
                </c:pt>
                <c:pt idx="3">
                  <c:v>2_bph_norte_2</c:v>
                </c:pt>
                <c:pt idx="4">
                  <c:v>3_bph_este</c:v>
                </c:pt>
                <c:pt idx="5">
                  <c:v>3_bph_este_2</c:v>
                </c:pt>
              </c:strCache>
            </c:strRef>
          </c:xVal>
          <c:yVal>
            <c:numRef>
              <c:f>Sheet2!$V$12:$V$17</c:f>
              <c:numCache>
                <c:formatCode>0</c:formatCode>
                <c:ptCount val="6"/>
                <c:pt idx="0">
                  <c:v>503.0148070375426</c:v>
                </c:pt>
                <c:pt idx="1">
                  <c:v>503.0148070375426</c:v>
                </c:pt>
                <c:pt idx="2">
                  <c:v>597.85569362991396</c:v>
                </c:pt>
                <c:pt idx="3">
                  <c:v>597.85569362991396</c:v>
                </c:pt>
                <c:pt idx="4">
                  <c:v>543.37705524140915</c:v>
                </c:pt>
                <c:pt idx="5">
                  <c:v>543.37705524140915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E2-4D2F-A80E-12C0B9F243D1}"/>
            </c:ext>
          </c:extLst>
        </c:ser>
        <c:ser>
          <c:idx val="1"/>
          <c:order val="1"/>
          <c:tx>
            <c:v>SAI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Sheet2!$S$12:$S$17</c:f>
              <c:strCache>
                <c:ptCount val="6"/>
                <c:pt idx="0">
                  <c:v>1_bph_norte</c:v>
                </c:pt>
                <c:pt idx="1">
                  <c:v>1_bph_norte_2</c:v>
                </c:pt>
                <c:pt idx="2">
                  <c:v>2_bph_norte</c:v>
                </c:pt>
                <c:pt idx="3">
                  <c:v>2_bph_norte_2</c:v>
                </c:pt>
                <c:pt idx="4">
                  <c:v>3_bph_este</c:v>
                </c:pt>
                <c:pt idx="5">
                  <c:v>3_bph_este_2</c:v>
                </c:pt>
              </c:strCache>
            </c:strRef>
          </c:xVal>
          <c:yVal>
            <c:numRef>
              <c:f>Sheet2!$W$12:$W$17</c:f>
              <c:numCache>
                <c:formatCode>General</c:formatCode>
                <c:ptCount val="6"/>
                <c:pt idx="0">
                  <c:v>4215</c:v>
                </c:pt>
                <c:pt idx="1">
                  <c:v>2964</c:v>
                </c:pt>
                <c:pt idx="2">
                  <c:v>1589</c:v>
                </c:pt>
                <c:pt idx="3">
                  <c:v>3253</c:v>
                </c:pt>
                <c:pt idx="4">
                  <c:v>2092</c:v>
                </c:pt>
                <c:pt idx="5">
                  <c:v>3066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E2-4D2F-A80E-12C0B9F243D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17319663"/>
        <c:axId val="531254783"/>
      </c:scatterChart>
      <c:valAx>
        <c:axId val="91731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Muestras</a:t>
                </a:r>
                <a:r>
                  <a:rPr lang="en-GB" baseline="0"/>
                  <a:t> de floema de la base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254783"/>
        <c:crosses val="autoZero"/>
        <c:crossBetween val="midCat"/>
      </c:valAx>
      <c:valAx>
        <c:axId val="5312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µg C</a:t>
                </a:r>
                <a:endParaRPr lang="en-GB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19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Diferencia de µg de C en floemas  </a:t>
            </a:r>
          </a:p>
          <a:p>
            <a:pPr>
              <a:defRPr sz="1800"/>
            </a:pPr>
            <a:r>
              <a:rPr lang="en-GB" sz="1800"/>
              <a:t>GOYRI vs. SAI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SPH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Sheet2!$S$6:$S$11</c:f>
              <c:strCache>
                <c:ptCount val="6"/>
                <c:pt idx="0">
                  <c:v>1_sph_shl</c:v>
                </c:pt>
                <c:pt idx="1">
                  <c:v>1_sph_shl_2</c:v>
                </c:pt>
                <c:pt idx="2">
                  <c:v>2_sph_shl</c:v>
                </c:pt>
                <c:pt idx="3">
                  <c:v>2_sph_shl_2</c:v>
                </c:pt>
                <c:pt idx="4">
                  <c:v>3_sph_shl</c:v>
                </c:pt>
                <c:pt idx="5">
                  <c:v>3_sph_shl_2</c:v>
                </c:pt>
              </c:strCache>
            </c:strRef>
          </c:xVal>
          <c:yVal>
            <c:numRef>
              <c:f>Sheet2!$AA$6:$AA$11</c:f>
              <c:numCache>
                <c:formatCode>0</c:formatCode>
                <c:ptCount val="6"/>
                <c:pt idx="0">
                  <c:v>308.7602585831923</c:v>
                </c:pt>
                <c:pt idx="1">
                  <c:v>136.7602585831923</c:v>
                </c:pt>
                <c:pt idx="2">
                  <c:v>901.42110962787422</c:v>
                </c:pt>
                <c:pt idx="3">
                  <c:v>558.42110962787422</c:v>
                </c:pt>
                <c:pt idx="4">
                  <c:v>1124.1817934334269</c:v>
                </c:pt>
                <c:pt idx="5">
                  <c:v>757.18179343342695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D0-4BA9-849B-15CF26931978}"/>
            </c:ext>
          </c:extLst>
        </c:ser>
        <c:ser>
          <c:idx val="1"/>
          <c:order val="1"/>
          <c:tx>
            <c:v>BPH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Sheet2!$S$12:$S$18</c:f>
              <c:strCache>
                <c:ptCount val="6"/>
                <c:pt idx="0">
                  <c:v>1_bph_norte</c:v>
                </c:pt>
                <c:pt idx="1">
                  <c:v>1_bph_norte_2</c:v>
                </c:pt>
                <c:pt idx="2">
                  <c:v>2_bph_norte</c:v>
                </c:pt>
                <c:pt idx="3">
                  <c:v>2_bph_norte_2</c:v>
                </c:pt>
                <c:pt idx="4">
                  <c:v>3_bph_este</c:v>
                </c:pt>
                <c:pt idx="5">
                  <c:v>3_bph_este_2</c:v>
                </c:pt>
              </c:strCache>
            </c:strRef>
          </c:xVal>
          <c:yVal>
            <c:numRef>
              <c:f>Sheet2!$AA$12:$AA$17</c:f>
              <c:numCache>
                <c:formatCode>0</c:formatCode>
                <c:ptCount val="6"/>
                <c:pt idx="0">
                  <c:v>3711.9851929624574</c:v>
                </c:pt>
                <c:pt idx="1">
                  <c:v>2460.9851929624574</c:v>
                </c:pt>
                <c:pt idx="2">
                  <c:v>991.14430637008604</c:v>
                </c:pt>
                <c:pt idx="3">
                  <c:v>2655.1443063700863</c:v>
                </c:pt>
                <c:pt idx="4">
                  <c:v>1548.6229447585908</c:v>
                </c:pt>
                <c:pt idx="5">
                  <c:v>2522.6229447585911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D0-4BA9-849B-15CF269319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07628447"/>
        <c:axId val="911707375"/>
      </c:scatterChart>
      <c:valAx>
        <c:axId val="90762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Muestras de floema de tallo y base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707375"/>
        <c:crosses val="autoZero"/>
        <c:crossBetween val="midCat"/>
      </c:valAx>
      <c:valAx>
        <c:axId val="91170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µg 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628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229809</xdr:colOff>
      <xdr:row>2</xdr:row>
      <xdr:rowOff>105835</xdr:rowOff>
    </xdr:from>
    <xdr:to>
      <xdr:col>10</xdr:col>
      <xdr:colOff>80131</xdr:colOff>
      <xdr:row>20</xdr:row>
      <xdr:rowOff>50197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46B364-959C-4934-8F24-2F8A025F6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215634</xdr:colOff>
      <xdr:row>19</xdr:row>
      <xdr:rowOff>148430</xdr:rowOff>
    </xdr:from>
    <xdr:to>
      <xdr:col>9</xdr:col>
      <xdr:colOff>52917</xdr:colOff>
      <xdr:row>37</xdr:row>
      <xdr:rowOff>95249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8D2A1E-5E8B-4862-9504-54CFBBCD1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386290</xdr:colOff>
      <xdr:row>28</xdr:row>
      <xdr:rowOff>99482</xdr:rowOff>
    </xdr:from>
    <xdr:to>
      <xdr:col>18</xdr:col>
      <xdr:colOff>169333</xdr:colOff>
      <xdr:row>51</xdr:row>
      <xdr:rowOff>169334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C2914CC-ECDA-48F7-8F3B-36FA164CD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6538-4984-4D6E-88DE-5F4C79FA321C}">
  <dimension ref="A1:O24"/>
  <sheetViews>
    <sheetView tabSelected="1" workbookViewId="0">
      <selection activeCell="G23" sqref="G23"/>
    </sheetView>
  </sheetViews>
  <sheetFormatPr defaultRowHeight="14.5" x14ac:dyDescent="0.35"/>
  <cols>
    <col min="1" max="1" width="11.81640625" style="2" bestFit="1" customWidth="1"/>
    <col min="2" max="2" width="8.54296875" style="2" customWidth="1"/>
    <col min="3" max="3" width="12" style="2" customWidth="1"/>
    <col min="4" max="4" width="10.453125" style="2" customWidth="1"/>
    <col min="5" max="5" width="14.1796875" style="2" customWidth="1"/>
    <col min="6" max="6" width="6.54296875" style="2" customWidth="1"/>
    <col min="7" max="7" width="11.81640625" style="2" bestFit="1" customWidth="1"/>
    <col min="8" max="8" width="7.90625" style="2" bestFit="1" customWidth="1"/>
    <col min="9" max="9" width="8.453125" style="2" bestFit="1" customWidth="1"/>
    <col min="10" max="11" width="8.453125" style="2" customWidth="1"/>
    <col min="12" max="12" width="13.81640625" style="2" bestFit="1" customWidth="1"/>
    <col min="13" max="13" width="13.81640625" style="2" customWidth="1"/>
    <col min="14" max="14" width="25.6328125" style="2" bestFit="1" customWidth="1"/>
    <col min="15" max="15" width="26.453125" style="2" bestFit="1" customWidth="1"/>
    <col min="16" max="16384" width="8.7265625" style="2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4</v>
      </c>
      <c r="H1" s="1" t="s">
        <v>5</v>
      </c>
      <c r="I1" s="1" t="s">
        <v>6</v>
      </c>
      <c r="J1" s="1" t="s">
        <v>7</v>
      </c>
      <c r="K1" s="1"/>
      <c r="L1" s="1" t="s">
        <v>38</v>
      </c>
      <c r="M1" s="1" t="s">
        <v>39</v>
      </c>
      <c r="N1" s="1" t="s">
        <v>8</v>
      </c>
    </row>
    <row r="2" spans="1:15" x14ac:dyDescent="0.35">
      <c r="A2" s="2" t="s">
        <v>9</v>
      </c>
      <c r="B2" s="2" t="s">
        <v>10</v>
      </c>
      <c r="C2" s="2" t="s">
        <v>11</v>
      </c>
      <c r="D2" s="2" t="s">
        <v>12</v>
      </c>
      <c r="E2" s="2">
        <v>170.4132471389359</v>
      </c>
      <c r="F2" s="2">
        <v>3</v>
      </c>
      <c r="G2" s="3">
        <f t="shared" ref="G2:G13" si="0">E2*F2</f>
        <v>511.2397414168077</v>
      </c>
      <c r="H2" s="3">
        <v>820</v>
      </c>
      <c r="I2" s="3">
        <f>(G2-H2)*-1</f>
        <v>308.7602585831923</v>
      </c>
      <c r="J2" s="3">
        <v>-29</v>
      </c>
      <c r="K2" s="3">
        <f>J2-L2</f>
        <v>-9.9743700000001212E-2</v>
      </c>
      <c r="L2" s="3">
        <v>-28.900256299999999</v>
      </c>
      <c r="N2" s="3">
        <f>L2-M3</f>
        <v>0.30130229999999969</v>
      </c>
      <c r="O2" s="3"/>
    </row>
    <row r="3" spans="1:15" x14ac:dyDescent="0.35">
      <c r="A3" s="2" t="s">
        <v>13</v>
      </c>
      <c r="B3" s="2" t="s">
        <v>10</v>
      </c>
      <c r="C3" s="2" t="s">
        <v>11</v>
      </c>
      <c r="D3" s="2" t="s">
        <v>14</v>
      </c>
      <c r="E3" s="2">
        <v>170.4132471389359</v>
      </c>
      <c r="F3" s="2">
        <v>3</v>
      </c>
      <c r="G3" s="3">
        <f t="shared" si="0"/>
        <v>511.2397414168077</v>
      </c>
      <c r="H3" s="3">
        <v>648</v>
      </c>
      <c r="I3" s="3">
        <f t="shared" ref="I3:I13" si="1">(G3-H3)*-1</f>
        <v>136.7602585831923</v>
      </c>
      <c r="J3" s="3"/>
      <c r="K3" s="3"/>
      <c r="M3" s="3">
        <v>-29.201558599999998</v>
      </c>
    </row>
    <row r="4" spans="1:15" x14ac:dyDescent="0.35">
      <c r="A4" s="2" t="s">
        <v>15</v>
      </c>
      <c r="B4" s="2" t="s">
        <v>10</v>
      </c>
      <c r="C4" s="2" t="s">
        <v>11</v>
      </c>
      <c r="D4" s="2" t="s">
        <v>16</v>
      </c>
      <c r="E4" s="2">
        <v>130.85963012404193</v>
      </c>
      <c r="F4" s="2">
        <v>3</v>
      </c>
      <c r="G4" s="3">
        <f t="shared" si="0"/>
        <v>392.57889037212578</v>
      </c>
      <c r="H4" s="3">
        <v>1294</v>
      </c>
      <c r="I4" s="3">
        <f t="shared" si="1"/>
        <v>901.42110962787422</v>
      </c>
      <c r="J4" s="3">
        <v>-29.7</v>
      </c>
      <c r="K4" s="3">
        <f t="shared" ref="K4:K12" si="2">J4-L4</f>
        <v>0.26741060000000161</v>
      </c>
      <c r="L4" s="3">
        <v>-29.967410600000001</v>
      </c>
      <c r="N4" s="3">
        <v>0.52</v>
      </c>
      <c r="O4" s="3"/>
    </row>
    <row r="5" spans="1:15" x14ac:dyDescent="0.35">
      <c r="A5" s="2" t="s">
        <v>17</v>
      </c>
      <c r="B5" s="2" t="s">
        <v>10</v>
      </c>
      <c r="C5" s="2" t="s">
        <v>11</v>
      </c>
      <c r="D5" s="2" t="s">
        <v>18</v>
      </c>
      <c r="E5" s="2">
        <v>130.85963012404193</v>
      </c>
      <c r="F5" s="2">
        <v>3</v>
      </c>
      <c r="G5" s="3">
        <f t="shared" si="0"/>
        <v>392.57889037212578</v>
      </c>
      <c r="H5" s="3">
        <v>951</v>
      </c>
      <c r="I5" s="3">
        <f t="shared" si="1"/>
        <v>558.42110962787422</v>
      </c>
      <c r="J5" s="3"/>
      <c r="K5" s="3"/>
      <c r="M5" s="3">
        <v>-29.446429699999999</v>
      </c>
    </row>
    <row r="6" spans="1:15" x14ac:dyDescent="0.35">
      <c r="A6" s="2" t="s">
        <v>19</v>
      </c>
      <c r="B6" s="2" t="s">
        <v>10</v>
      </c>
      <c r="C6" s="2" t="s">
        <v>11</v>
      </c>
      <c r="D6" s="2" t="s">
        <v>20</v>
      </c>
      <c r="E6" s="2">
        <v>175.27273552219103</v>
      </c>
      <c r="F6" s="2">
        <v>3</v>
      </c>
      <c r="G6" s="3">
        <f t="shared" si="0"/>
        <v>525.81820656657305</v>
      </c>
      <c r="H6" s="3">
        <v>1650</v>
      </c>
      <c r="I6" s="3">
        <f t="shared" si="1"/>
        <v>1124.1817934334269</v>
      </c>
      <c r="J6" s="3">
        <v>-30.4</v>
      </c>
      <c r="K6" s="3">
        <f t="shared" si="2"/>
        <v>2.7369999999997674E-3</v>
      </c>
      <c r="L6" s="3">
        <v>-30.402736999999998</v>
      </c>
      <c r="N6" s="3">
        <f>L6-M7</f>
        <v>0.26099430000000012</v>
      </c>
      <c r="O6" s="3"/>
    </row>
    <row r="7" spans="1:15" x14ac:dyDescent="0.35">
      <c r="A7" s="2" t="s">
        <v>21</v>
      </c>
      <c r="B7" s="2" t="s">
        <v>10</v>
      </c>
      <c r="C7" s="2" t="s">
        <v>11</v>
      </c>
      <c r="D7" s="2" t="s">
        <v>22</v>
      </c>
      <c r="E7" s="2">
        <v>175.27273552219103</v>
      </c>
      <c r="F7" s="2">
        <v>3</v>
      </c>
      <c r="G7" s="3">
        <f t="shared" si="0"/>
        <v>525.81820656657305</v>
      </c>
      <c r="H7" s="3">
        <v>1283</v>
      </c>
      <c r="I7" s="3">
        <f t="shared" si="1"/>
        <v>757.18179343342695</v>
      </c>
      <c r="J7" s="3"/>
      <c r="K7" s="3"/>
      <c r="M7" s="3">
        <v>-30.663731299999998</v>
      </c>
    </row>
    <row r="8" spans="1:15" x14ac:dyDescent="0.35">
      <c r="A8" s="2" t="s">
        <v>23</v>
      </c>
      <c r="B8" s="2" t="s">
        <v>24</v>
      </c>
      <c r="C8" s="2" t="s">
        <v>11</v>
      </c>
      <c r="D8" s="2" t="s">
        <v>25</v>
      </c>
      <c r="E8" s="2">
        <v>167.67160234584753</v>
      </c>
      <c r="F8" s="2">
        <v>3</v>
      </c>
      <c r="G8" s="3">
        <f t="shared" si="0"/>
        <v>503.0148070375426</v>
      </c>
      <c r="H8" s="3">
        <v>4215</v>
      </c>
      <c r="I8" s="3">
        <f t="shared" si="1"/>
        <v>3711.9851929624574</v>
      </c>
      <c r="J8" s="3">
        <v>-26.6</v>
      </c>
      <c r="K8" s="3">
        <f t="shared" si="2"/>
        <v>0.10044719999999785</v>
      </c>
      <c r="L8" s="3">
        <v>-26.700447199999999</v>
      </c>
      <c r="N8" s="3">
        <f>L8-M9</f>
        <v>0.37083360000000098</v>
      </c>
      <c r="O8" s="3"/>
    </row>
    <row r="9" spans="1:15" x14ac:dyDescent="0.35">
      <c r="A9" s="2" t="s">
        <v>26</v>
      </c>
      <c r="B9" s="2" t="s">
        <v>24</v>
      </c>
      <c r="C9" s="2" t="s">
        <v>11</v>
      </c>
      <c r="D9" s="2" t="s">
        <v>27</v>
      </c>
      <c r="E9" s="2">
        <v>167.67160234584753</v>
      </c>
      <c r="F9" s="2">
        <v>3</v>
      </c>
      <c r="G9" s="3">
        <f t="shared" si="0"/>
        <v>503.0148070375426</v>
      </c>
      <c r="H9" s="3">
        <v>2964</v>
      </c>
      <c r="I9" s="3">
        <f t="shared" si="1"/>
        <v>2460.9851929624574</v>
      </c>
      <c r="J9" s="3"/>
      <c r="K9" s="3"/>
      <c r="M9" s="3">
        <v>-27.0712808</v>
      </c>
    </row>
    <row r="10" spans="1:15" x14ac:dyDescent="0.35">
      <c r="A10" s="2" t="s">
        <v>28</v>
      </c>
      <c r="B10" s="2" t="s">
        <v>24</v>
      </c>
      <c r="C10" s="2" t="s">
        <v>11</v>
      </c>
      <c r="D10" s="2" t="s">
        <v>29</v>
      </c>
      <c r="E10" s="2">
        <v>199.2852312099713</v>
      </c>
      <c r="F10" s="2">
        <v>3</v>
      </c>
      <c r="G10" s="3">
        <f t="shared" si="0"/>
        <v>597.85569362991396</v>
      </c>
      <c r="H10" s="3">
        <v>1589</v>
      </c>
      <c r="I10" s="3">
        <f t="shared" si="1"/>
        <v>991.14430637008604</v>
      </c>
      <c r="J10" s="3">
        <v>-26.5</v>
      </c>
      <c r="K10" s="3">
        <f t="shared" si="2"/>
        <v>-0.54021230000000031</v>
      </c>
      <c r="L10" s="3">
        <v>-25.9597877</v>
      </c>
      <c r="N10" s="3">
        <f>L10-M11</f>
        <v>0.57035820000000115</v>
      </c>
      <c r="O10" s="3"/>
    </row>
    <row r="11" spans="1:15" x14ac:dyDescent="0.35">
      <c r="A11" s="2" t="s">
        <v>30</v>
      </c>
      <c r="B11" s="2" t="s">
        <v>24</v>
      </c>
      <c r="C11" s="2" t="s">
        <v>11</v>
      </c>
      <c r="D11" s="2" t="s">
        <v>31</v>
      </c>
      <c r="E11" s="2">
        <v>199.2852312099713</v>
      </c>
      <c r="F11" s="2">
        <v>3</v>
      </c>
      <c r="G11" s="3">
        <f t="shared" si="0"/>
        <v>597.85569362991396</v>
      </c>
      <c r="H11" s="3">
        <v>3253</v>
      </c>
      <c r="I11" s="3">
        <f t="shared" si="1"/>
        <v>2655.1443063700863</v>
      </c>
      <c r="J11" s="3"/>
      <c r="K11" s="3"/>
      <c r="M11" s="3">
        <v>-26.530145900000001</v>
      </c>
    </row>
    <row r="12" spans="1:15" x14ac:dyDescent="0.35">
      <c r="A12" s="2" t="s">
        <v>32</v>
      </c>
      <c r="B12" s="2" t="s">
        <v>24</v>
      </c>
      <c r="C12" s="2" t="s">
        <v>11</v>
      </c>
      <c r="D12" s="2" t="s">
        <v>33</v>
      </c>
      <c r="E12" s="2">
        <v>181.12568508046971</v>
      </c>
      <c r="F12" s="2">
        <v>3</v>
      </c>
      <c r="G12" s="3">
        <f t="shared" si="0"/>
        <v>543.37705524140915</v>
      </c>
      <c r="H12" s="3">
        <v>2092</v>
      </c>
      <c r="I12" s="3">
        <f t="shared" si="1"/>
        <v>1548.6229447585908</v>
      </c>
      <c r="J12" s="3">
        <v>-28</v>
      </c>
      <c r="K12" s="3">
        <f t="shared" si="2"/>
        <v>-8.0235800000000523E-2</v>
      </c>
      <c r="L12" s="3">
        <v>-27.919764199999999</v>
      </c>
      <c r="N12" s="3">
        <f>L12-M13</f>
        <v>0.19146300000000238</v>
      </c>
      <c r="O12" s="3"/>
    </row>
    <row r="13" spans="1:15" x14ac:dyDescent="0.35">
      <c r="A13" s="2" t="s">
        <v>34</v>
      </c>
      <c r="B13" s="2" t="s">
        <v>24</v>
      </c>
      <c r="C13" s="2" t="s">
        <v>11</v>
      </c>
      <c r="D13" s="2" t="s">
        <v>35</v>
      </c>
      <c r="E13" s="2">
        <v>181.12568508046971</v>
      </c>
      <c r="F13" s="2">
        <v>3</v>
      </c>
      <c r="G13" s="3">
        <f t="shared" si="0"/>
        <v>543.37705524140915</v>
      </c>
      <c r="H13" s="3">
        <v>3066</v>
      </c>
      <c r="I13" s="3">
        <f t="shared" si="1"/>
        <v>2522.6229447585911</v>
      </c>
      <c r="J13" s="3"/>
      <c r="K13" s="3"/>
      <c r="M13" s="3">
        <v>-28.111227200000002</v>
      </c>
    </row>
    <row r="14" spans="1:15" x14ac:dyDescent="0.35">
      <c r="I14" s="3"/>
      <c r="J14" s="3"/>
      <c r="K14" s="3"/>
      <c r="N14" s="3"/>
      <c r="O14" s="3"/>
    </row>
    <row r="15" spans="1:15" x14ac:dyDescent="0.35">
      <c r="I15" s="3"/>
      <c r="J15"/>
      <c r="K15"/>
      <c r="L15"/>
      <c r="M15"/>
      <c r="N15"/>
      <c r="O15"/>
    </row>
    <row r="16" spans="1:15" x14ac:dyDescent="0.35">
      <c r="G16" s="1"/>
      <c r="I16" s="3"/>
      <c r="J16"/>
      <c r="K16" s="6"/>
      <c r="L16" s="32"/>
      <c r="M16" s="32"/>
      <c r="N16" s="6"/>
      <c r="O16" s="6"/>
    </row>
    <row r="17" spans="3:15" x14ac:dyDescent="0.35">
      <c r="J17"/>
      <c r="K17" s="4"/>
      <c r="L17" s="5"/>
      <c r="M17" s="5"/>
      <c r="N17" s="5"/>
      <c r="O17" s="5"/>
    </row>
    <row r="18" spans="3:15" x14ac:dyDescent="0.35">
      <c r="J18"/>
      <c r="K18" s="4"/>
      <c r="L18" s="5"/>
      <c r="M18" s="5"/>
      <c r="N18" s="5"/>
      <c r="O18" s="5"/>
    </row>
    <row r="19" spans="3:15" x14ac:dyDescent="0.35">
      <c r="C19" s="3"/>
      <c r="D19" s="3"/>
      <c r="F19" s="3"/>
      <c r="J19"/>
      <c r="K19"/>
      <c r="L19"/>
      <c r="M19"/>
      <c r="N19"/>
      <c r="O19"/>
    </row>
    <row r="20" spans="3:15" x14ac:dyDescent="0.35">
      <c r="C20" s="3"/>
      <c r="D20" s="3"/>
      <c r="F20" s="3"/>
      <c r="J20"/>
      <c r="K20"/>
      <c r="L20"/>
      <c r="M20"/>
      <c r="N20"/>
      <c r="O20"/>
    </row>
    <row r="21" spans="3:15" x14ac:dyDescent="0.35">
      <c r="D21" s="3"/>
    </row>
    <row r="22" spans="3:15" x14ac:dyDescent="0.35">
      <c r="D22" s="3"/>
    </row>
    <row r="23" spans="3:15" x14ac:dyDescent="0.35">
      <c r="D23" s="3"/>
    </row>
    <row r="24" spans="3:15" x14ac:dyDescent="0.35">
      <c r="D2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DE32-4741-4098-8156-B3F991508101}">
  <dimension ref="J5:AA40"/>
  <sheetViews>
    <sheetView topLeftCell="J6" zoomScale="60" zoomScaleNormal="60" workbookViewId="0">
      <selection activeCell="X23" sqref="X23"/>
    </sheetView>
  </sheetViews>
  <sheetFormatPr defaultRowHeight="14.5" x14ac:dyDescent="0.35"/>
  <cols>
    <col min="19" max="19" width="11.7265625" customWidth="1"/>
    <col min="20" max="20" width="16.26953125" customWidth="1"/>
    <col min="21" max="21" width="18.7265625" customWidth="1"/>
    <col min="22" max="22" width="12.36328125" customWidth="1"/>
    <col min="23" max="23" width="14" customWidth="1"/>
    <col min="24" max="24" width="22.81640625" customWidth="1"/>
    <col min="25" max="25" width="23.26953125" customWidth="1"/>
  </cols>
  <sheetData>
    <row r="5" spans="19:27" ht="16" thickBot="1" x14ac:dyDescent="0.4">
      <c r="S5" s="21" t="s">
        <v>46</v>
      </c>
      <c r="T5" s="21" t="s">
        <v>55</v>
      </c>
      <c r="U5" s="21" t="s">
        <v>47</v>
      </c>
      <c r="V5" s="21" t="s">
        <v>48</v>
      </c>
      <c r="W5" s="21" t="s">
        <v>56</v>
      </c>
      <c r="X5" s="21" t="s">
        <v>57</v>
      </c>
      <c r="Y5" s="21" t="s">
        <v>58</v>
      </c>
    </row>
    <row r="6" spans="19:27" ht="15.5" x14ac:dyDescent="0.35">
      <c r="S6" s="22" t="s">
        <v>12</v>
      </c>
      <c r="T6" s="23">
        <v>170.4132471389359</v>
      </c>
      <c r="U6" s="22">
        <v>3</v>
      </c>
      <c r="V6" s="24">
        <v>511.2397414168077</v>
      </c>
      <c r="W6" s="22">
        <v>820</v>
      </c>
      <c r="X6" s="23">
        <v>-28.900256299999999</v>
      </c>
      <c r="Y6" s="23"/>
      <c r="AA6" s="17">
        <f>W6-V6</f>
        <v>308.7602585831923</v>
      </c>
    </row>
    <row r="7" spans="19:27" ht="15.5" x14ac:dyDescent="0.35">
      <c r="S7" s="25" t="s">
        <v>14</v>
      </c>
      <c r="T7" s="26">
        <v>170.4132471389359</v>
      </c>
      <c r="U7" s="25">
        <v>3</v>
      </c>
      <c r="V7" s="27">
        <v>511.2397414168077</v>
      </c>
      <c r="W7" s="25">
        <v>648</v>
      </c>
      <c r="X7" s="26"/>
      <c r="Y7" s="26">
        <v>-29.201558599999998</v>
      </c>
      <c r="AA7" s="17">
        <f t="shared" ref="AA7:AA17" si="0">W7-V7</f>
        <v>136.7602585831923</v>
      </c>
    </row>
    <row r="8" spans="19:27" ht="15.5" x14ac:dyDescent="0.35">
      <c r="S8" s="25" t="s">
        <v>16</v>
      </c>
      <c r="T8" s="26">
        <v>130.85963012404193</v>
      </c>
      <c r="U8" s="25">
        <v>3</v>
      </c>
      <c r="V8" s="27">
        <v>392.57889037212578</v>
      </c>
      <c r="W8" s="25">
        <v>1294</v>
      </c>
      <c r="X8" s="26">
        <v>-29.967410600000001</v>
      </c>
      <c r="Y8" s="26"/>
      <c r="AA8" s="17">
        <f t="shared" si="0"/>
        <v>901.42110962787422</v>
      </c>
    </row>
    <row r="9" spans="19:27" ht="15.5" x14ac:dyDescent="0.35">
      <c r="S9" s="25" t="s">
        <v>18</v>
      </c>
      <c r="T9" s="26">
        <v>130.85963012404193</v>
      </c>
      <c r="U9" s="25">
        <v>3</v>
      </c>
      <c r="V9" s="27">
        <v>392.57889037212578</v>
      </c>
      <c r="W9" s="25">
        <v>951</v>
      </c>
      <c r="X9" s="26"/>
      <c r="Y9" s="26">
        <v>-29.446429699999999</v>
      </c>
      <c r="AA9" s="17">
        <f t="shared" si="0"/>
        <v>558.42110962787422</v>
      </c>
    </row>
    <row r="10" spans="19:27" ht="15.5" x14ac:dyDescent="0.35">
      <c r="S10" s="25" t="s">
        <v>20</v>
      </c>
      <c r="T10" s="26">
        <v>175.27273552219103</v>
      </c>
      <c r="U10" s="25">
        <v>3</v>
      </c>
      <c r="V10" s="27">
        <v>525.81820656657305</v>
      </c>
      <c r="W10" s="25">
        <v>1650</v>
      </c>
      <c r="X10" s="26">
        <v>-30.402736999999998</v>
      </c>
      <c r="Y10" s="26"/>
      <c r="AA10" s="17">
        <f t="shared" si="0"/>
        <v>1124.1817934334269</v>
      </c>
    </row>
    <row r="11" spans="19:27" ht="15.5" x14ac:dyDescent="0.35">
      <c r="S11" s="25" t="s">
        <v>22</v>
      </c>
      <c r="T11" s="26">
        <v>175.27273552219103</v>
      </c>
      <c r="U11" s="25">
        <v>3</v>
      </c>
      <c r="V11" s="27">
        <v>525.81820656657305</v>
      </c>
      <c r="W11" s="25">
        <v>1283</v>
      </c>
      <c r="X11" s="26"/>
      <c r="Y11" s="26">
        <v>-30.663731299999998</v>
      </c>
      <c r="AA11" s="17">
        <f t="shared" si="0"/>
        <v>757.18179343342695</v>
      </c>
    </row>
    <row r="12" spans="19:27" ht="15.5" x14ac:dyDescent="0.35">
      <c r="S12" s="25" t="s">
        <v>25</v>
      </c>
      <c r="T12" s="26">
        <v>167.67160234584753</v>
      </c>
      <c r="U12" s="25">
        <v>3</v>
      </c>
      <c r="V12" s="27">
        <v>503.0148070375426</v>
      </c>
      <c r="W12" s="25">
        <v>4215</v>
      </c>
      <c r="X12" s="26">
        <v>-26.700447199999999</v>
      </c>
      <c r="Y12" s="26"/>
      <c r="AA12" s="17">
        <f t="shared" si="0"/>
        <v>3711.9851929624574</v>
      </c>
    </row>
    <row r="13" spans="19:27" ht="15.5" x14ac:dyDescent="0.35">
      <c r="S13" s="25" t="s">
        <v>27</v>
      </c>
      <c r="T13" s="26">
        <v>167.67160234584753</v>
      </c>
      <c r="U13" s="25">
        <v>3</v>
      </c>
      <c r="V13" s="27">
        <v>503.0148070375426</v>
      </c>
      <c r="W13" s="25">
        <v>2964</v>
      </c>
      <c r="X13" s="26"/>
      <c r="Y13" s="26">
        <v>-27.0712808</v>
      </c>
      <c r="AA13" s="17">
        <f t="shared" si="0"/>
        <v>2460.9851929624574</v>
      </c>
    </row>
    <row r="14" spans="19:27" ht="15.5" x14ac:dyDescent="0.35">
      <c r="S14" s="25" t="s">
        <v>29</v>
      </c>
      <c r="T14" s="26">
        <v>199.2852312099713</v>
      </c>
      <c r="U14" s="25">
        <v>3</v>
      </c>
      <c r="V14" s="27">
        <v>597.85569362991396</v>
      </c>
      <c r="W14" s="25">
        <v>1589</v>
      </c>
      <c r="X14" s="26">
        <v>-25.9597877</v>
      </c>
      <c r="Y14" s="26"/>
      <c r="AA14" s="17">
        <f t="shared" si="0"/>
        <v>991.14430637008604</v>
      </c>
    </row>
    <row r="15" spans="19:27" ht="15.5" x14ac:dyDescent="0.35">
      <c r="S15" s="25" t="s">
        <v>31</v>
      </c>
      <c r="T15" s="26">
        <v>199.2852312099713</v>
      </c>
      <c r="U15" s="25">
        <v>3</v>
      </c>
      <c r="V15" s="27">
        <v>597.85569362991396</v>
      </c>
      <c r="W15" s="25">
        <v>3253</v>
      </c>
      <c r="X15" s="26"/>
      <c r="Y15" s="26">
        <v>-26.530145900000001</v>
      </c>
      <c r="AA15" s="17">
        <f t="shared" si="0"/>
        <v>2655.1443063700863</v>
      </c>
    </row>
    <row r="16" spans="19:27" ht="15.5" x14ac:dyDescent="0.35">
      <c r="S16" s="25" t="s">
        <v>33</v>
      </c>
      <c r="T16" s="26">
        <v>181.12568508046971</v>
      </c>
      <c r="U16" s="25">
        <v>3</v>
      </c>
      <c r="V16" s="27">
        <v>543.37705524140915</v>
      </c>
      <c r="W16" s="25">
        <v>2092</v>
      </c>
      <c r="X16" s="26">
        <v>-27.919764199999999</v>
      </c>
      <c r="Y16" s="26"/>
      <c r="AA16" s="17">
        <f t="shared" si="0"/>
        <v>1548.6229447585908</v>
      </c>
    </row>
    <row r="17" spans="10:27" ht="16" thickBot="1" x14ac:dyDescent="0.4">
      <c r="S17" s="28" t="s">
        <v>35</v>
      </c>
      <c r="T17" s="29">
        <v>181.12568508046971</v>
      </c>
      <c r="U17" s="28">
        <v>3</v>
      </c>
      <c r="V17" s="30">
        <v>543.37705524140915</v>
      </c>
      <c r="W17" s="28">
        <v>3066</v>
      </c>
      <c r="X17" s="29"/>
      <c r="Y17" s="29">
        <v>-28.111227200000002</v>
      </c>
      <c r="AA17" s="17">
        <f t="shared" si="0"/>
        <v>2522.6229447585911</v>
      </c>
    </row>
    <row r="18" spans="10:27" ht="15.5" x14ac:dyDescent="0.35">
      <c r="S18" s="25"/>
      <c r="T18" s="26"/>
      <c r="U18" s="25"/>
      <c r="V18" s="27"/>
      <c r="W18" s="25"/>
      <c r="X18" s="31"/>
      <c r="Y18" s="31"/>
    </row>
    <row r="19" spans="10:27" ht="15.5" x14ac:dyDescent="0.35">
      <c r="S19" s="25"/>
      <c r="T19" s="26"/>
      <c r="U19" s="25"/>
      <c r="V19" s="27"/>
      <c r="W19" s="25"/>
      <c r="X19" s="31"/>
      <c r="Y19" s="31"/>
    </row>
    <row r="20" spans="10:27" ht="16" thickBot="1" x14ac:dyDescent="0.4">
      <c r="S20" s="20"/>
      <c r="T20" s="20"/>
      <c r="U20" s="20"/>
      <c r="V20" s="20"/>
      <c r="W20" s="20"/>
      <c r="X20" s="20"/>
      <c r="Y20" s="20"/>
    </row>
    <row r="21" spans="10:27" ht="15" x14ac:dyDescent="0.35">
      <c r="J21" s="7" t="s">
        <v>46</v>
      </c>
      <c r="K21" s="7" t="s">
        <v>42</v>
      </c>
      <c r="L21" s="7" t="s">
        <v>43</v>
      </c>
      <c r="M21" s="7" t="s">
        <v>44</v>
      </c>
      <c r="N21" s="7" t="s">
        <v>45</v>
      </c>
      <c r="S21" s="15" t="s">
        <v>46</v>
      </c>
      <c r="T21" s="15" t="s">
        <v>48</v>
      </c>
      <c r="U21" s="11" t="s">
        <v>49</v>
      </c>
      <c r="V21" s="11" t="s">
        <v>51</v>
      </c>
      <c r="W21" s="11" t="s">
        <v>49</v>
      </c>
      <c r="X21" s="11" t="s">
        <v>7</v>
      </c>
      <c r="Y21" s="11" t="s">
        <v>7</v>
      </c>
    </row>
    <row r="22" spans="10:27" ht="15.5" thickBot="1" x14ac:dyDescent="0.4">
      <c r="J22" s="8" t="s">
        <v>40</v>
      </c>
      <c r="K22" s="9">
        <v>476.545612785169</v>
      </c>
      <c r="L22" s="9">
        <v>960.66666666666663</v>
      </c>
      <c r="M22" s="9">
        <v>-29.756801300000003</v>
      </c>
      <c r="N22" s="9">
        <v>-29.770573199999998</v>
      </c>
      <c r="S22" s="16"/>
      <c r="T22" s="16"/>
      <c r="U22" s="12" t="s">
        <v>50</v>
      </c>
      <c r="V22" s="12" t="s">
        <v>52</v>
      </c>
      <c r="W22" s="12" t="s">
        <v>52</v>
      </c>
      <c r="X22" s="12" t="s">
        <v>53</v>
      </c>
      <c r="Y22" s="12" t="s">
        <v>54</v>
      </c>
    </row>
    <row r="23" spans="10:27" ht="16" thickTop="1" x14ac:dyDescent="0.35">
      <c r="J23" s="8" t="s">
        <v>41</v>
      </c>
      <c r="K23" s="9">
        <v>548.08251863628857</v>
      </c>
      <c r="L23" s="9">
        <v>3094.3333333333335</v>
      </c>
      <c r="M23" s="9">
        <v>-26.859999699999999</v>
      </c>
      <c r="N23" s="9">
        <v>-27.237551300000003</v>
      </c>
      <c r="S23" s="13" t="s">
        <v>40</v>
      </c>
      <c r="T23" s="13">
        <v>476.55</v>
      </c>
      <c r="U23" s="13">
        <v>65.37</v>
      </c>
      <c r="V23" s="13">
        <v>1007.67</v>
      </c>
      <c r="W23" s="13">
        <v>368.29</v>
      </c>
      <c r="X23" s="18">
        <v>-29.756801300000003</v>
      </c>
      <c r="Y23" s="18">
        <v>-29.770573199999998</v>
      </c>
    </row>
    <row r="24" spans="10:27" ht="16" thickBot="1" x14ac:dyDescent="0.4">
      <c r="S24" s="14" t="s">
        <v>41</v>
      </c>
      <c r="T24" s="14">
        <v>548.08000000000004</v>
      </c>
      <c r="U24" s="14">
        <v>42.57</v>
      </c>
      <c r="V24" s="14">
        <v>2863.17</v>
      </c>
      <c r="W24" s="14">
        <v>921.84</v>
      </c>
      <c r="X24" s="19">
        <v>-26.859999699999999</v>
      </c>
      <c r="Y24" s="19">
        <v>-27.237551300000003</v>
      </c>
    </row>
    <row r="26" spans="10:27" x14ac:dyDescent="0.35">
      <c r="X26" s="10"/>
      <c r="Y26" s="10"/>
    </row>
    <row r="28" spans="10:27" x14ac:dyDescent="0.35">
      <c r="V28" s="1" t="s">
        <v>38</v>
      </c>
      <c r="W28" s="1" t="s">
        <v>39</v>
      </c>
    </row>
    <row r="29" spans="10:27" x14ac:dyDescent="0.35">
      <c r="V29" s="3">
        <v>-28.900256299999999</v>
      </c>
      <c r="W29" s="2"/>
    </row>
    <row r="30" spans="10:27" x14ac:dyDescent="0.35">
      <c r="V30" s="2"/>
      <c r="W30" s="3">
        <v>-29.201558599999998</v>
      </c>
    </row>
    <row r="31" spans="10:27" x14ac:dyDescent="0.35">
      <c r="V31" s="3">
        <v>-29.967410600000001</v>
      </c>
      <c r="W31" s="2"/>
    </row>
    <row r="32" spans="10:27" x14ac:dyDescent="0.35">
      <c r="V32" s="2"/>
      <c r="W32" s="3">
        <v>-29.446429699999999</v>
      </c>
    </row>
    <row r="33" spans="22:23" x14ac:dyDescent="0.35">
      <c r="V33" s="3">
        <v>-30.402736999999998</v>
      </c>
      <c r="W33" s="2"/>
    </row>
    <row r="34" spans="22:23" x14ac:dyDescent="0.35">
      <c r="V34" s="2"/>
      <c r="W34" s="3">
        <v>-30.663731299999998</v>
      </c>
    </row>
    <row r="35" spans="22:23" x14ac:dyDescent="0.35">
      <c r="V35" s="3">
        <v>-26.700447199999999</v>
      </c>
      <c r="W35" s="2"/>
    </row>
    <row r="36" spans="22:23" x14ac:dyDescent="0.35">
      <c r="V36" s="2"/>
      <c r="W36" s="3">
        <v>-27.0712808</v>
      </c>
    </row>
    <row r="37" spans="22:23" x14ac:dyDescent="0.35">
      <c r="V37" s="3">
        <v>-25.9597877</v>
      </c>
      <c r="W37" s="2"/>
    </row>
    <row r="38" spans="22:23" x14ac:dyDescent="0.35">
      <c r="V38" s="2"/>
      <c r="W38" s="3">
        <v>-26.530145900000001</v>
      </c>
    </row>
    <row r="39" spans="22:23" x14ac:dyDescent="0.35">
      <c r="V39" s="3">
        <v>-27.919764199999999</v>
      </c>
      <c r="W39" s="2"/>
    </row>
    <row r="40" spans="22:23" x14ac:dyDescent="0.35">
      <c r="V40" s="2"/>
      <c r="W40" s="3">
        <v>-28.111227200000002</v>
      </c>
    </row>
  </sheetData>
  <mergeCells count="2">
    <mergeCell ref="S21:S22"/>
    <mergeCell ref="T21:T2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JESUS LOPEZ CASTRO</dc:creator>
  <cp:lastModifiedBy>GUILLERMO DE JESUS LOPEZ CASTRO</cp:lastModifiedBy>
  <dcterms:created xsi:type="dcterms:W3CDTF">2024-02-23T17:24:17Z</dcterms:created>
  <dcterms:modified xsi:type="dcterms:W3CDTF">2024-03-15T18:11:10Z</dcterms:modified>
</cp:coreProperties>
</file>