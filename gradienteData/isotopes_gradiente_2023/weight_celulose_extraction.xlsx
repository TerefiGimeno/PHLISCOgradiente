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eaf-my.sharepoint.com/personal/t_gimeno_creaf_uab_cat/Documents/terefi/repo/PHLISCOgradiente/gradienteData/isotopes_gradiente_2023/"/>
    </mc:Choice>
  </mc:AlternateContent>
  <xr:revisionPtr revIDLastSave="34" documentId="8_{FFB3A8FD-32FF-4983-A961-05048A2F34C5}" xr6:coauthVersionLast="47" xr6:coauthVersionMax="47" xr10:uidLastSave="{0331B574-40EB-4584-8BF2-AEDCE080C9D1}"/>
  <bookViews>
    <workbookView xWindow="-108" yWindow="-108" windowWidth="23256" windowHeight="14016" xr2:uid="{5548D504-3D1F-4935-8D67-2CC32DC927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1" l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5" i="1" l="1"/>
</calcChain>
</file>

<file path=xl/sharedStrings.xml><?xml version="1.0" encoding="utf-8"?>
<sst xmlns="http://schemas.openxmlformats.org/spreadsheetml/2006/main" count="85" uniqueCount="85">
  <si>
    <t>Binary</t>
  </si>
  <si>
    <t>Sample_ID</t>
  </si>
  <si>
    <t>Wood (mg)</t>
  </si>
  <si>
    <t>Cellulose (mg)</t>
  </si>
  <si>
    <t>Cellulose (%)</t>
  </si>
  <si>
    <t>Order</t>
  </si>
  <si>
    <t>ART_1</t>
  </si>
  <si>
    <t>ART_3</t>
  </si>
  <si>
    <t>ART_3*</t>
  </si>
  <si>
    <t>ART_4</t>
  </si>
  <si>
    <t>ART_5</t>
  </si>
  <si>
    <t>BER_1</t>
  </si>
  <si>
    <t>BER_2</t>
  </si>
  <si>
    <t>BER_3</t>
  </si>
  <si>
    <t>BER_4</t>
  </si>
  <si>
    <t>BER_5</t>
  </si>
  <si>
    <t>BER_6</t>
  </si>
  <si>
    <t>DIU_1</t>
  </si>
  <si>
    <t>DIU_2</t>
  </si>
  <si>
    <t>DIU_3</t>
  </si>
  <si>
    <t>DIU_4</t>
  </si>
  <si>
    <t>DIU_5</t>
  </si>
  <si>
    <t>DIU_6</t>
  </si>
  <si>
    <t>HH_1</t>
  </si>
  <si>
    <t>HH_2</t>
  </si>
  <si>
    <t>HH_3</t>
  </si>
  <si>
    <t>HH_4</t>
  </si>
  <si>
    <t>HH_5</t>
  </si>
  <si>
    <t>ITV_1</t>
  </si>
  <si>
    <t>ITV_2</t>
  </si>
  <si>
    <t>ITV_3</t>
  </si>
  <si>
    <t>ITV_4</t>
  </si>
  <si>
    <t>ITV_5</t>
  </si>
  <si>
    <t>ITV_6</t>
  </si>
  <si>
    <t>MS_1_22</t>
  </si>
  <si>
    <t>MS_2_22</t>
  </si>
  <si>
    <t>MS_3_22</t>
  </si>
  <si>
    <t>MS_4_22</t>
  </si>
  <si>
    <t>MS_5_22</t>
  </si>
  <si>
    <t>MS_6_22</t>
  </si>
  <si>
    <t>MS_7_22</t>
  </si>
  <si>
    <t>MS_1_23</t>
  </si>
  <si>
    <t>MS_2_23</t>
  </si>
  <si>
    <t>MS_3_23</t>
  </si>
  <si>
    <t>MS_4_23</t>
  </si>
  <si>
    <t>MS_5_23</t>
  </si>
  <si>
    <t>MS_6_23</t>
  </si>
  <si>
    <t>MS_7_23</t>
  </si>
  <si>
    <t>101001</t>
  </si>
  <si>
    <t>101000</t>
  </si>
  <si>
    <t>100111</t>
  </si>
  <si>
    <t>100110</t>
  </si>
  <si>
    <t>100101</t>
  </si>
  <si>
    <t>100100</t>
  </si>
  <si>
    <t>100011</t>
  </si>
  <si>
    <t>100010</t>
  </si>
  <si>
    <t>100001</t>
  </si>
  <si>
    <t>100000</t>
  </si>
  <si>
    <t>11111</t>
  </si>
  <si>
    <t>11110</t>
  </si>
  <si>
    <t>11101</t>
  </si>
  <si>
    <t>11100</t>
  </si>
  <si>
    <t>11011</t>
  </si>
  <si>
    <t>11010</t>
  </si>
  <si>
    <t>11001</t>
  </si>
  <si>
    <t>11000</t>
  </si>
  <si>
    <t>10111</t>
  </si>
  <si>
    <t>10110</t>
  </si>
  <si>
    <t>10101</t>
  </si>
  <si>
    <t>10100</t>
  </si>
  <si>
    <t>10011</t>
  </si>
  <si>
    <t>10010</t>
  </si>
  <si>
    <t>10001</t>
  </si>
  <si>
    <t>10000</t>
  </si>
  <si>
    <t>1111</t>
  </si>
  <si>
    <t>1110</t>
  </si>
  <si>
    <t>1101</t>
  </si>
  <si>
    <t>1100</t>
  </si>
  <si>
    <t>1011</t>
  </si>
  <si>
    <t>1010</t>
  </si>
  <si>
    <t>1001</t>
  </si>
  <si>
    <t>1000</t>
  </si>
  <si>
    <t>Microplate position</t>
  </si>
  <si>
    <t>Cellulose for isotopic analysis (mg)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</si>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</sst>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0"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7814E9-DB04-423F-9064-863086F22EB9}" name="Table2" displayName="Table2" ref="A1:I44" totalsRowCount="1" headerRowDxfId="19" dataDxfId="18">
  <autoFilter ref="A1:I43" xr:uid="{367814E9-DB04-423F-9064-863086F22EB9}"/>
  <tableColumns count="9">
    <tableColumn id="1" xr3:uid="{5560C5DA-43C8-4636-BD1E-627C6D8D3072}" name="Binary" dataDxfId="16" totalsRowDxfId="17">
      <calculatedColumnFormula>DEC2BIN(Table2[[#This Row],[Order]])</calculatedColumnFormula>
    </tableColumn>
    <tableColumn id="6" xr3:uid="{149F0082-DEC1-4AFA-ACC4-764D3EFBA9B6}" name="Order" dataDxfId="14" totalsRowDxfId="15"/>
    <tableColumn id="2" xr3:uid="{76EAF236-4578-47B6-953A-72C2B570BF9E}" name="Sample_ID" dataDxfId="12" totalsRowDxfId="13"/>
    <tableColumn id="3" xr3:uid="{6F6F00EB-0A82-4FD5-A178-A12F2C5A8ED1}" name="Wood (mg)" dataDxfId="10" totalsRowDxfId="11"/>
    <tableColumn id="4" xr3:uid="{F0024D7C-AD1F-423F-8224-99BEE0BF3399}" name="Cellulose (mg)" dataDxfId="8" totalsRowDxfId="9"/>
    <tableColumn id="5" xr3:uid="{F34812F3-40D1-4C5D-A7B4-0019E39AD191}" name="Cellulose (%)" totalsRowFunction="custom" dataDxfId="6" totalsRowDxfId="7">
      <calculatedColumnFormula>+Table2[[#This Row],[Cellulose (mg)]]/Table2[[#This Row],[Wood (mg)]]*100</calculatedColumnFormula>
      <totalsRowFormula>(_xlfn.STDEV.P(F2:F28,F36,F37,F38,F39,F40,F41,F42))/SQRT(37)</totalsRowFormula>
    </tableColumn>
    <tableColumn id="7" xr3:uid="{B3499253-90AC-4847-92AA-104E2B7796B8}" name="Cellulose for isotopic analysis (mg)" dataDxfId="4" totalsRowDxfId="5"/>
    <tableColumn id="8" xr3:uid="{EB6B1024-04FA-48E6-9D7B-568EF2E73C36}" name="Microplate position" dataDxfId="2" totalsRowDxfId="3"/>
    <tableColumn id="9" xr3:uid="{2E9950E7-66DC-4374-9416-57B68B9CBD10}" name="Column1" dataDxfId="0" totalsRowDxfId="1">
      <calculatedColumnFormula>Table2[[#This Row],[Cellulose (mg)]]/Table2[[#This Row],[Wood (mg)]]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9FF81-9A44-4E86-A789-D4D7C2011EA6}">
  <sheetPr>
    <pageSetUpPr fitToPage="1"/>
  </sheetPr>
  <dimension ref="A1:I45"/>
  <sheetViews>
    <sheetView tabSelected="1" workbookViewId="0">
      <pane ySplit="1" topLeftCell="A32" activePane="bottomLeft" state="frozen"/>
      <selection pane="bottomLeft" activeCell="G47" sqref="G47"/>
    </sheetView>
  </sheetViews>
  <sheetFormatPr defaultRowHeight="14.75" x14ac:dyDescent="0.75"/>
  <cols>
    <col min="1" max="2" width="8.7265625" style="1"/>
    <col min="3" max="3" width="11.86328125" style="1" customWidth="1"/>
    <col min="4" max="4" width="11.7265625" style="1" customWidth="1"/>
    <col min="5" max="5" width="14.86328125" style="1" customWidth="1"/>
    <col min="6" max="6" width="13.86328125" style="1" customWidth="1"/>
    <col min="7" max="7" width="23.26953125" style="1" customWidth="1"/>
    <col min="8" max="8" width="12.86328125" style="1" customWidth="1"/>
  </cols>
  <sheetData>
    <row r="1" spans="1:9" ht="29.5" x14ac:dyDescent="0.7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83</v>
      </c>
      <c r="H1" s="3" t="s">
        <v>82</v>
      </c>
      <c r="I1" s="1" t="s">
        <v>84</v>
      </c>
    </row>
    <row r="2" spans="1:9" x14ac:dyDescent="0.75">
      <c r="A2" s="1">
        <v>0</v>
      </c>
      <c r="B2" s="1">
        <v>1</v>
      </c>
      <c r="C2" s="1" t="s">
        <v>6</v>
      </c>
      <c r="D2" s="2">
        <v>9.3000000000000007</v>
      </c>
      <c r="E2" s="2">
        <v>3.1</v>
      </c>
      <c r="F2" s="2">
        <f>+Table2[[#This Row],[Cellulose (mg)]]/Table2[[#This Row],[Wood (mg)]]*100</f>
        <v>33.333333333333329</v>
      </c>
      <c r="G2" s="2"/>
      <c r="H2" s="2"/>
      <c r="I2" s="2">
        <f>Table2[[#This Row],[Cellulose (mg)]]/Table2[[#This Row],[Wood (mg)]]</f>
        <v>0.33333333333333331</v>
      </c>
    </row>
    <row r="3" spans="1:9" x14ac:dyDescent="0.75">
      <c r="A3" s="1">
        <v>1</v>
      </c>
      <c r="B3" s="1">
        <v>2</v>
      </c>
      <c r="C3" s="1" t="s">
        <v>7</v>
      </c>
      <c r="D3" s="2">
        <v>6.5</v>
      </c>
      <c r="E3" s="2">
        <v>2.2999999999999998</v>
      </c>
      <c r="F3" s="2">
        <f>+Table2[[#This Row],[Cellulose (mg)]]/Table2[[#This Row],[Wood (mg)]]*100</f>
        <v>35.38461538461538</v>
      </c>
      <c r="G3" s="2"/>
      <c r="H3" s="2"/>
      <c r="I3" s="2">
        <f>Table2[[#This Row],[Cellulose (mg)]]/Table2[[#This Row],[Wood (mg)]]</f>
        <v>0.35384615384615381</v>
      </c>
    </row>
    <row r="4" spans="1:9" x14ac:dyDescent="0.75">
      <c r="A4" s="1">
        <v>10</v>
      </c>
      <c r="B4" s="1">
        <v>3</v>
      </c>
      <c r="C4" s="1" t="s">
        <v>8</v>
      </c>
      <c r="D4" s="2">
        <v>4.5</v>
      </c>
      <c r="E4" s="2">
        <v>1.1000000000000001</v>
      </c>
      <c r="F4" s="2">
        <f>+Table2[[#This Row],[Cellulose (mg)]]/Table2[[#This Row],[Wood (mg)]]*100</f>
        <v>24.444444444444446</v>
      </c>
      <c r="G4" s="2"/>
      <c r="H4" s="2"/>
      <c r="I4" s="2">
        <f>Table2[[#This Row],[Cellulose (mg)]]/Table2[[#This Row],[Wood (mg)]]</f>
        <v>0.24444444444444446</v>
      </c>
    </row>
    <row r="5" spans="1:9" x14ac:dyDescent="0.75">
      <c r="A5" s="1">
        <v>11</v>
      </c>
      <c r="B5" s="1">
        <v>4</v>
      </c>
      <c r="C5" s="1" t="s">
        <v>9</v>
      </c>
      <c r="D5" s="2">
        <v>4.9000000000000004</v>
      </c>
      <c r="E5" s="2">
        <v>1.6</v>
      </c>
      <c r="F5" s="2">
        <f>+Table2[[#This Row],[Cellulose (mg)]]/Table2[[#This Row],[Wood (mg)]]*100</f>
        <v>32.653061224489797</v>
      </c>
      <c r="G5" s="2"/>
      <c r="H5" s="2"/>
      <c r="I5" s="2">
        <f>Table2[[#This Row],[Cellulose (mg)]]/Table2[[#This Row],[Wood (mg)]]</f>
        <v>0.32653061224489793</v>
      </c>
    </row>
    <row r="6" spans="1:9" x14ac:dyDescent="0.75">
      <c r="A6" s="1">
        <v>100</v>
      </c>
      <c r="B6" s="1">
        <v>5</v>
      </c>
      <c r="C6" s="1" t="s">
        <v>10</v>
      </c>
      <c r="D6" s="2">
        <v>4.5</v>
      </c>
      <c r="E6" s="2">
        <v>1.5</v>
      </c>
      <c r="F6" s="2">
        <f>+Table2[[#This Row],[Cellulose (mg)]]/Table2[[#This Row],[Wood (mg)]]*100</f>
        <v>33.333333333333329</v>
      </c>
      <c r="G6" s="2"/>
      <c r="H6" s="2"/>
      <c r="I6" s="2">
        <f>Table2[[#This Row],[Cellulose (mg)]]/Table2[[#This Row],[Wood (mg)]]</f>
        <v>0.33333333333333331</v>
      </c>
    </row>
    <row r="7" spans="1:9" x14ac:dyDescent="0.75">
      <c r="A7" s="1">
        <v>101</v>
      </c>
      <c r="B7" s="1">
        <v>6</v>
      </c>
      <c r="C7" s="1" t="s">
        <v>11</v>
      </c>
      <c r="D7" s="2">
        <v>3.8</v>
      </c>
      <c r="E7" s="2">
        <v>1.4</v>
      </c>
      <c r="F7" s="2">
        <f>+Table2[[#This Row],[Cellulose (mg)]]/Table2[[#This Row],[Wood (mg)]]*100</f>
        <v>36.84210526315789</v>
      </c>
      <c r="G7" s="2"/>
      <c r="H7" s="2"/>
      <c r="I7" s="2">
        <f>Table2[[#This Row],[Cellulose (mg)]]/Table2[[#This Row],[Wood (mg)]]</f>
        <v>0.36842105263157893</v>
      </c>
    </row>
    <row r="8" spans="1:9" x14ac:dyDescent="0.75">
      <c r="A8" s="1">
        <v>110</v>
      </c>
      <c r="B8" s="1">
        <v>7</v>
      </c>
      <c r="C8" s="1" t="s">
        <v>12</v>
      </c>
      <c r="D8" s="2">
        <v>6.1</v>
      </c>
      <c r="E8" s="2">
        <v>1.8</v>
      </c>
      <c r="F8" s="2">
        <f>+Table2[[#This Row],[Cellulose (mg)]]/Table2[[#This Row],[Wood (mg)]]*100</f>
        <v>29.508196721311482</v>
      </c>
      <c r="G8" s="2"/>
      <c r="H8" s="2"/>
      <c r="I8" s="2">
        <f>Table2[[#This Row],[Cellulose (mg)]]/Table2[[#This Row],[Wood (mg)]]</f>
        <v>0.2950819672131148</v>
      </c>
    </row>
    <row r="9" spans="1:9" x14ac:dyDescent="0.75">
      <c r="A9" s="1">
        <v>111</v>
      </c>
      <c r="B9" s="1">
        <v>8</v>
      </c>
      <c r="C9" s="1" t="s">
        <v>13</v>
      </c>
      <c r="D9" s="2">
        <v>8.6</v>
      </c>
      <c r="E9" s="2">
        <v>3</v>
      </c>
      <c r="F9" s="2">
        <f>+Table2[[#This Row],[Cellulose (mg)]]/Table2[[#This Row],[Wood (mg)]]*100</f>
        <v>34.883720930232556</v>
      </c>
      <c r="G9" s="2"/>
      <c r="H9" s="2"/>
      <c r="I9" s="2">
        <f>Table2[[#This Row],[Cellulose (mg)]]/Table2[[#This Row],[Wood (mg)]]</f>
        <v>0.34883720930232559</v>
      </c>
    </row>
    <row r="10" spans="1:9" x14ac:dyDescent="0.75">
      <c r="A10" s="1" t="s">
        <v>81</v>
      </c>
      <c r="B10" s="1">
        <v>9</v>
      </c>
      <c r="C10" s="1" t="s">
        <v>14</v>
      </c>
      <c r="D10" s="2">
        <v>6.9</v>
      </c>
      <c r="E10" s="2">
        <v>2.5</v>
      </c>
      <c r="F10" s="2">
        <f>+Table2[[#This Row],[Cellulose (mg)]]/Table2[[#This Row],[Wood (mg)]]*100</f>
        <v>36.231884057971016</v>
      </c>
      <c r="G10" s="2"/>
      <c r="H10" s="2"/>
      <c r="I10" s="2">
        <f>Table2[[#This Row],[Cellulose (mg)]]/Table2[[#This Row],[Wood (mg)]]</f>
        <v>0.36231884057971014</v>
      </c>
    </row>
    <row r="11" spans="1:9" x14ac:dyDescent="0.75">
      <c r="A11" s="1" t="s">
        <v>80</v>
      </c>
      <c r="B11" s="1">
        <v>10</v>
      </c>
      <c r="C11" s="1" t="s">
        <v>15</v>
      </c>
      <c r="D11" s="2">
        <v>3.5</v>
      </c>
      <c r="E11" s="2">
        <v>1.2</v>
      </c>
      <c r="F11" s="2">
        <f>+Table2[[#This Row],[Cellulose (mg)]]/Table2[[#This Row],[Wood (mg)]]*100</f>
        <v>34.285714285714285</v>
      </c>
      <c r="G11" s="2"/>
      <c r="H11" s="2"/>
      <c r="I11" s="2">
        <f>Table2[[#This Row],[Cellulose (mg)]]/Table2[[#This Row],[Wood (mg)]]</f>
        <v>0.34285714285714286</v>
      </c>
    </row>
    <row r="12" spans="1:9" x14ac:dyDescent="0.75">
      <c r="A12" s="1" t="s">
        <v>79</v>
      </c>
      <c r="B12" s="1">
        <v>11</v>
      </c>
      <c r="C12" s="1" t="s">
        <v>16</v>
      </c>
      <c r="D12" s="2">
        <v>8.1</v>
      </c>
      <c r="E12" s="2">
        <v>1.2</v>
      </c>
      <c r="F12" s="2">
        <f>+Table2[[#This Row],[Cellulose (mg)]]/Table2[[#This Row],[Wood (mg)]]*100</f>
        <v>14.814814814814813</v>
      </c>
      <c r="G12" s="2"/>
      <c r="H12" s="2"/>
      <c r="I12" s="2">
        <f>Table2[[#This Row],[Cellulose (mg)]]/Table2[[#This Row],[Wood (mg)]]</f>
        <v>0.14814814814814814</v>
      </c>
    </row>
    <row r="13" spans="1:9" x14ac:dyDescent="0.75">
      <c r="A13" s="1" t="s">
        <v>78</v>
      </c>
      <c r="B13" s="1">
        <v>12</v>
      </c>
      <c r="C13" s="1" t="s">
        <v>17</v>
      </c>
      <c r="D13" s="2">
        <v>9.1999999999999993</v>
      </c>
      <c r="E13" s="2">
        <v>3.4</v>
      </c>
      <c r="F13" s="2">
        <f>+Table2[[#This Row],[Cellulose (mg)]]/Table2[[#This Row],[Wood (mg)]]*100</f>
        <v>36.956521739130437</v>
      </c>
      <c r="G13" s="2"/>
      <c r="H13" s="2"/>
      <c r="I13" s="2">
        <f>Table2[[#This Row],[Cellulose (mg)]]/Table2[[#This Row],[Wood (mg)]]</f>
        <v>0.36956521739130438</v>
      </c>
    </row>
    <row r="14" spans="1:9" x14ac:dyDescent="0.75">
      <c r="A14" s="1" t="s">
        <v>77</v>
      </c>
      <c r="B14" s="1">
        <v>13</v>
      </c>
      <c r="C14" s="1" t="s">
        <v>18</v>
      </c>
      <c r="D14" s="2">
        <v>9.8000000000000007</v>
      </c>
      <c r="E14" s="2">
        <v>4</v>
      </c>
      <c r="F14" s="2">
        <f>+Table2[[#This Row],[Cellulose (mg)]]/Table2[[#This Row],[Wood (mg)]]*100</f>
        <v>40.816326530612237</v>
      </c>
      <c r="G14" s="2"/>
      <c r="H14" s="2"/>
      <c r="I14" s="2">
        <f>Table2[[#This Row],[Cellulose (mg)]]/Table2[[#This Row],[Wood (mg)]]</f>
        <v>0.4081632653061224</v>
      </c>
    </row>
    <row r="15" spans="1:9" x14ac:dyDescent="0.75">
      <c r="A15" s="1" t="s">
        <v>76</v>
      </c>
      <c r="B15" s="1">
        <v>14</v>
      </c>
      <c r="C15" s="1" t="s">
        <v>19</v>
      </c>
      <c r="D15" s="2">
        <v>7.6</v>
      </c>
      <c r="E15" s="2">
        <v>3</v>
      </c>
      <c r="F15" s="2">
        <f>+Table2[[#This Row],[Cellulose (mg)]]/Table2[[#This Row],[Wood (mg)]]*100</f>
        <v>39.473684210526315</v>
      </c>
      <c r="G15" s="2"/>
      <c r="H15" s="2"/>
      <c r="I15" s="2">
        <f>Table2[[#This Row],[Cellulose (mg)]]/Table2[[#This Row],[Wood (mg)]]</f>
        <v>0.39473684210526316</v>
      </c>
    </row>
    <row r="16" spans="1:9" x14ac:dyDescent="0.75">
      <c r="A16" s="1" t="s">
        <v>75</v>
      </c>
      <c r="B16" s="1">
        <v>15</v>
      </c>
      <c r="C16" s="1" t="s">
        <v>20</v>
      </c>
      <c r="D16" s="2">
        <v>8.8000000000000007</v>
      </c>
      <c r="E16" s="2">
        <v>4</v>
      </c>
      <c r="F16" s="2">
        <f>+Table2[[#This Row],[Cellulose (mg)]]/Table2[[#This Row],[Wood (mg)]]*100</f>
        <v>45.454545454545453</v>
      </c>
      <c r="G16" s="2"/>
      <c r="H16" s="2"/>
      <c r="I16" s="2">
        <f>Table2[[#This Row],[Cellulose (mg)]]/Table2[[#This Row],[Wood (mg)]]</f>
        <v>0.45454545454545453</v>
      </c>
    </row>
    <row r="17" spans="1:9" x14ac:dyDescent="0.75">
      <c r="A17" s="1" t="s">
        <v>74</v>
      </c>
      <c r="B17" s="1">
        <v>16</v>
      </c>
      <c r="C17" s="1" t="s">
        <v>21</v>
      </c>
      <c r="D17" s="2">
        <v>10</v>
      </c>
      <c r="E17" s="2">
        <v>3.9</v>
      </c>
      <c r="F17" s="2">
        <f>+Table2[[#This Row],[Cellulose (mg)]]/Table2[[#This Row],[Wood (mg)]]*100</f>
        <v>39</v>
      </c>
      <c r="G17" s="2"/>
      <c r="H17" s="2"/>
      <c r="I17" s="2">
        <f>Table2[[#This Row],[Cellulose (mg)]]/Table2[[#This Row],[Wood (mg)]]</f>
        <v>0.39</v>
      </c>
    </row>
    <row r="18" spans="1:9" x14ac:dyDescent="0.75">
      <c r="A18" s="1" t="s">
        <v>73</v>
      </c>
      <c r="B18" s="1">
        <v>17</v>
      </c>
      <c r="C18" s="1" t="s">
        <v>22</v>
      </c>
      <c r="D18" s="2">
        <v>6.2</v>
      </c>
      <c r="E18" s="2">
        <v>2.2000000000000002</v>
      </c>
      <c r="F18" s="2">
        <f>+Table2[[#This Row],[Cellulose (mg)]]/Table2[[#This Row],[Wood (mg)]]*100</f>
        <v>35.483870967741936</v>
      </c>
      <c r="G18" s="2"/>
      <c r="H18" s="2"/>
      <c r="I18" s="2">
        <f>Table2[[#This Row],[Cellulose (mg)]]/Table2[[#This Row],[Wood (mg)]]</f>
        <v>0.35483870967741937</v>
      </c>
    </row>
    <row r="19" spans="1:9" x14ac:dyDescent="0.75">
      <c r="A19" s="1" t="s">
        <v>72</v>
      </c>
      <c r="B19" s="1">
        <v>18</v>
      </c>
      <c r="C19" s="1" t="s">
        <v>23</v>
      </c>
      <c r="D19" s="2">
        <v>9.8000000000000007</v>
      </c>
      <c r="E19" s="2">
        <v>4.8</v>
      </c>
      <c r="F19" s="2">
        <f>+Table2[[#This Row],[Cellulose (mg)]]/Table2[[#This Row],[Wood (mg)]]*100</f>
        <v>48.979591836734684</v>
      </c>
      <c r="G19" s="2"/>
      <c r="H19" s="2"/>
      <c r="I19" s="2">
        <f>Table2[[#This Row],[Cellulose (mg)]]/Table2[[#This Row],[Wood (mg)]]</f>
        <v>0.48979591836734687</v>
      </c>
    </row>
    <row r="20" spans="1:9" x14ac:dyDescent="0.75">
      <c r="A20" s="1" t="s">
        <v>71</v>
      </c>
      <c r="B20" s="1">
        <v>19</v>
      </c>
      <c r="C20" s="1" t="s">
        <v>24</v>
      </c>
      <c r="D20" s="2">
        <v>7.4</v>
      </c>
      <c r="E20" s="2">
        <v>3.5</v>
      </c>
      <c r="F20" s="2">
        <f>+Table2[[#This Row],[Cellulose (mg)]]/Table2[[#This Row],[Wood (mg)]]*100</f>
        <v>47.297297297297298</v>
      </c>
      <c r="G20" s="2"/>
      <c r="H20" s="2"/>
      <c r="I20" s="2">
        <f>Table2[[#This Row],[Cellulose (mg)]]/Table2[[#This Row],[Wood (mg)]]</f>
        <v>0.47297297297297297</v>
      </c>
    </row>
    <row r="21" spans="1:9" x14ac:dyDescent="0.75">
      <c r="A21" s="1" t="s">
        <v>70</v>
      </c>
      <c r="B21" s="1">
        <v>20</v>
      </c>
      <c r="C21" s="1" t="s">
        <v>25</v>
      </c>
      <c r="D21" s="2">
        <v>7.1</v>
      </c>
      <c r="E21" s="2">
        <v>3.6</v>
      </c>
      <c r="F21" s="2">
        <f>+Table2[[#This Row],[Cellulose (mg)]]/Table2[[#This Row],[Wood (mg)]]*100</f>
        <v>50.704225352112672</v>
      </c>
      <c r="G21" s="2"/>
      <c r="H21" s="2"/>
      <c r="I21" s="2">
        <f>Table2[[#This Row],[Cellulose (mg)]]/Table2[[#This Row],[Wood (mg)]]</f>
        <v>0.50704225352112675</v>
      </c>
    </row>
    <row r="22" spans="1:9" x14ac:dyDescent="0.75">
      <c r="A22" s="1" t="s">
        <v>69</v>
      </c>
      <c r="B22" s="1">
        <v>21</v>
      </c>
      <c r="C22" s="1" t="s">
        <v>26</v>
      </c>
      <c r="D22" s="2">
        <v>8.1999999999999993</v>
      </c>
      <c r="E22" s="2">
        <v>4</v>
      </c>
      <c r="F22" s="2">
        <f>+Table2[[#This Row],[Cellulose (mg)]]/Table2[[#This Row],[Wood (mg)]]*100</f>
        <v>48.780487804878057</v>
      </c>
      <c r="G22" s="2"/>
      <c r="H22" s="2"/>
      <c r="I22" s="2">
        <f>Table2[[#This Row],[Cellulose (mg)]]/Table2[[#This Row],[Wood (mg)]]</f>
        <v>0.48780487804878053</v>
      </c>
    </row>
    <row r="23" spans="1:9" x14ac:dyDescent="0.75">
      <c r="A23" s="1" t="s">
        <v>68</v>
      </c>
      <c r="B23" s="1">
        <v>22</v>
      </c>
      <c r="C23" s="1" t="s">
        <v>27</v>
      </c>
      <c r="D23" s="2">
        <v>6.4</v>
      </c>
      <c r="E23" s="2">
        <v>2.6</v>
      </c>
      <c r="F23" s="2">
        <f>+Table2[[#This Row],[Cellulose (mg)]]/Table2[[#This Row],[Wood (mg)]]*100</f>
        <v>40.625</v>
      </c>
      <c r="G23" s="2"/>
      <c r="H23" s="2"/>
      <c r="I23" s="2">
        <f>Table2[[#This Row],[Cellulose (mg)]]/Table2[[#This Row],[Wood (mg)]]</f>
        <v>0.40625</v>
      </c>
    </row>
    <row r="24" spans="1:9" x14ac:dyDescent="0.75">
      <c r="A24" s="1" t="s">
        <v>67</v>
      </c>
      <c r="B24" s="1">
        <v>23</v>
      </c>
      <c r="C24" s="1" t="s">
        <v>28</v>
      </c>
      <c r="D24" s="2">
        <v>9.1999999999999993</v>
      </c>
      <c r="E24" s="2">
        <v>2.9</v>
      </c>
      <c r="F24" s="2">
        <f>+Table2[[#This Row],[Cellulose (mg)]]/Table2[[#This Row],[Wood (mg)]]*100</f>
        <v>31.521739130434785</v>
      </c>
      <c r="G24" s="2"/>
      <c r="H24" s="2"/>
      <c r="I24" s="2">
        <f>Table2[[#This Row],[Cellulose (mg)]]/Table2[[#This Row],[Wood (mg)]]</f>
        <v>0.31521739130434784</v>
      </c>
    </row>
    <row r="25" spans="1:9" x14ac:dyDescent="0.75">
      <c r="A25" s="1" t="s">
        <v>66</v>
      </c>
      <c r="B25" s="1">
        <v>24</v>
      </c>
      <c r="C25" s="1" t="s">
        <v>29</v>
      </c>
      <c r="D25" s="2">
        <v>9.1</v>
      </c>
      <c r="E25" s="2">
        <v>3.7</v>
      </c>
      <c r="F25" s="2">
        <f>+Table2[[#This Row],[Cellulose (mg)]]/Table2[[#This Row],[Wood (mg)]]*100</f>
        <v>40.659340659340664</v>
      </c>
      <c r="G25" s="2"/>
      <c r="H25" s="2"/>
      <c r="I25" s="2">
        <f>Table2[[#This Row],[Cellulose (mg)]]/Table2[[#This Row],[Wood (mg)]]</f>
        <v>0.40659340659340665</v>
      </c>
    </row>
    <row r="26" spans="1:9" x14ac:dyDescent="0.75">
      <c r="A26" s="1" t="s">
        <v>65</v>
      </c>
      <c r="B26" s="1">
        <v>25</v>
      </c>
      <c r="C26" s="1" t="s">
        <v>30</v>
      </c>
      <c r="D26" s="2">
        <v>9.1</v>
      </c>
      <c r="E26" s="2">
        <v>3.6</v>
      </c>
      <c r="F26" s="2">
        <f>+Table2[[#This Row],[Cellulose (mg)]]/Table2[[#This Row],[Wood (mg)]]*100</f>
        <v>39.560439560439562</v>
      </c>
      <c r="G26" s="2"/>
      <c r="H26" s="2"/>
      <c r="I26" s="2">
        <f>Table2[[#This Row],[Cellulose (mg)]]/Table2[[#This Row],[Wood (mg)]]</f>
        <v>0.39560439560439564</v>
      </c>
    </row>
    <row r="27" spans="1:9" x14ac:dyDescent="0.75">
      <c r="A27" s="1" t="s">
        <v>64</v>
      </c>
      <c r="B27" s="1">
        <v>26</v>
      </c>
      <c r="C27" s="1" t="s">
        <v>31</v>
      </c>
      <c r="D27" s="2">
        <v>5.2</v>
      </c>
      <c r="E27" s="2">
        <v>1.7</v>
      </c>
      <c r="F27" s="2">
        <f>+Table2[[#This Row],[Cellulose (mg)]]/Table2[[#This Row],[Wood (mg)]]*100</f>
        <v>32.692307692307693</v>
      </c>
      <c r="G27" s="2"/>
      <c r="H27" s="2"/>
      <c r="I27" s="2">
        <f>Table2[[#This Row],[Cellulose (mg)]]/Table2[[#This Row],[Wood (mg)]]</f>
        <v>0.32692307692307693</v>
      </c>
    </row>
    <row r="28" spans="1:9" x14ac:dyDescent="0.75">
      <c r="A28" s="1" t="s">
        <v>63</v>
      </c>
      <c r="B28" s="1">
        <v>27</v>
      </c>
      <c r="C28" s="1" t="s">
        <v>32</v>
      </c>
      <c r="D28" s="2">
        <v>7</v>
      </c>
      <c r="E28" s="2">
        <v>2.2000000000000002</v>
      </c>
      <c r="F28" s="2">
        <f>+Table2[[#This Row],[Cellulose (mg)]]/Table2[[#This Row],[Wood (mg)]]*100</f>
        <v>31.428571428571434</v>
      </c>
      <c r="G28" s="2"/>
      <c r="H28" s="2"/>
      <c r="I28" s="2">
        <f>Table2[[#This Row],[Cellulose (mg)]]/Table2[[#This Row],[Wood (mg)]]</f>
        <v>0.31428571428571433</v>
      </c>
    </row>
    <row r="29" spans="1:9" x14ac:dyDescent="0.75">
      <c r="A29" s="1" t="s">
        <v>62</v>
      </c>
      <c r="B29" s="1">
        <v>28</v>
      </c>
      <c r="C29" s="1" t="s">
        <v>33</v>
      </c>
      <c r="D29" s="2">
        <v>8.1999999999999993</v>
      </c>
      <c r="E29" s="2">
        <v>4.0999999999999996</v>
      </c>
      <c r="F29" s="2">
        <f>+Table2[[#This Row],[Cellulose (mg)]]/Table2[[#This Row],[Wood (mg)]]*100</f>
        <v>50</v>
      </c>
      <c r="G29" s="2"/>
      <c r="H29" s="2"/>
      <c r="I29" s="2">
        <f>Table2[[#This Row],[Cellulose (mg)]]/Table2[[#This Row],[Wood (mg)]]</f>
        <v>0.5</v>
      </c>
    </row>
    <row r="30" spans="1:9" x14ac:dyDescent="0.75">
      <c r="A30" s="1" t="s">
        <v>61</v>
      </c>
      <c r="B30" s="1">
        <v>29</v>
      </c>
      <c r="C30" s="1" t="s">
        <v>34</v>
      </c>
      <c r="D30" s="2">
        <v>5.6</v>
      </c>
      <c r="E30" s="2">
        <v>2.2000000000000002</v>
      </c>
      <c r="F30" s="2">
        <f>+Table2[[#This Row],[Cellulose (mg)]]/Table2[[#This Row],[Wood (mg)]]*100</f>
        <v>39.285714285714292</v>
      </c>
      <c r="G30" s="2"/>
      <c r="H30" s="2"/>
      <c r="I30" s="2"/>
    </row>
    <row r="31" spans="1:9" x14ac:dyDescent="0.75">
      <c r="A31" s="1" t="s">
        <v>60</v>
      </c>
      <c r="B31" s="1">
        <v>30</v>
      </c>
      <c r="C31" s="1" t="s">
        <v>35</v>
      </c>
      <c r="D31" s="2">
        <v>9.6</v>
      </c>
      <c r="E31" s="2">
        <v>3.9</v>
      </c>
      <c r="F31" s="2">
        <f>+Table2[[#This Row],[Cellulose (mg)]]/Table2[[#This Row],[Wood (mg)]]*100</f>
        <v>40.625</v>
      </c>
      <c r="G31" s="2"/>
      <c r="H31" s="2"/>
      <c r="I31" s="2"/>
    </row>
    <row r="32" spans="1:9" x14ac:dyDescent="0.75">
      <c r="A32" s="1" t="s">
        <v>59</v>
      </c>
      <c r="B32" s="1">
        <v>31</v>
      </c>
      <c r="C32" s="1" t="s">
        <v>36</v>
      </c>
      <c r="D32" s="2">
        <v>9.5</v>
      </c>
      <c r="E32" s="2">
        <v>3.9</v>
      </c>
      <c r="F32" s="2">
        <f>+Table2[[#This Row],[Cellulose (mg)]]/Table2[[#This Row],[Wood (mg)]]*100</f>
        <v>41.05263157894737</v>
      </c>
      <c r="G32" s="2"/>
      <c r="H32" s="2"/>
      <c r="I32" s="2"/>
    </row>
    <row r="33" spans="1:9" x14ac:dyDescent="0.75">
      <c r="A33" s="1" t="s">
        <v>58</v>
      </c>
      <c r="B33" s="1">
        <v>32</v>
      </c>
      <c r="C33" s="1" t="s">
        <v>37</v>
      </c>
      <c r="D33" s="2">
        <v>7</v>
      </c>
      <c r="E33" s="2">
        <v>3.2</v>
      </c>
      <c r="F33" s="2">
        <f>+Table2[[#This Row],[Cellulose (mg)]]/Table2[[#This Row],[Wood (mg)]]*100</f>
        <v>45.714285714285715</v>
      </c>
      <c r="G33" s="2"/>
      <c r="H33" s="2"/>
      <c r="I33" s="2"/>
    </row>
    <row r="34" spans="1:9" x14ac:dyDescent="0.75">
      <c r="A34" s="1" t="s">
        <v>57</v>
      </c>
      <c r="B34" s="1">
        <v>33</v>
      </c>
      <c r="C34" s="1" t="s">
        <v>38</v>
      </c>
      <c r="D34" s="2">
        <v>8.4</v>
      </c>
      <c r="E34" s="2">
        <v>3.1</v>
      </c>
      <c r="F34" s="2">
        <f>+Table2[[#This Row],[Cellulose (mg)]]/Table2[[#This Row],[Wood (mg)]]*100</f>
        <v>36.904761904761905</v>
      </c>
      <c r="G34" s="2"/>
      <c r="H34" s="2"/>
      <c r="I34" s="2"/>
    </row>
    <row r="35" spans="1:9" x14ac:dyDescent="0.75">
      <c r="A35" s="1" t="s">
        <v>56</v>
      </c>
      <c r="B35" s="1">
        <v>34</v>
      </c>
      <c r="C35" s="1" t="s">
        <v>39</v>
      </c>
      <c r="D35" s="2">
        <v>8.3000000000000007</v>
      </c>
      <c r="E35" s="2">
        <v>3.7</v>
      </c>
      <c r="F35" s="2">
        <f>+Table2[[#This Row],[Cellulose (mg)]]/Table2[[#This Row],[Wood (mg)]]*100</f>
        <v>44.578313253012048</v>
      </c>
      <c r="G35" s="2"/>
      <c r="H35" s="2"/>
      <c r="I35" s="2"/>
    </row>
    <row r="36" spans="1:9" x14ac:dyDescent="0.75">
      <c r="A36" s="1" t="s">
        <v>55</v>
      </c>
      <c r="B36" s="1">
        <v>35</v>
      </c>
      <c r="C36" s="1" t="s">
        <v>40</v>
      </c>
      <c r="D36" s="2">
        <v>6.9</v>
      </c>
      <c r="E36" s="2">
        <v>2.7</v>
      </c>
      <c r="F36" s="2">
        <f>+Table2[[#This Row],[Cellulose (mg)]]/Table2[[#This Row],[Wood (mg)]]*100</f>
        <v>39.130434782608695</v>
      </c>
      <c r="G36" s="2"/>
      <c r="H36" s="2"/>
      <c r="I36" s="2"/>
    </row>
    <row r="37" spans="1:9" x14ac:dyDescent="0.75">
      <c r="A37" s="1" t="s">
        <v>54</v>
      </c>
      <c r="B37" s="1">
        <v>36</v>
      </c>
      <c r="C37" s="1" t="s">
        <v>41</v>
      </c>
      <c r="D37" s="2">
        <v>9.1999999999999993</v>
      </c>
      <c r="E37" s="2">
        <v>3.2</v>
      </c>
      <c r="F37" s="2">
        <f>+Table2[[#This Row],[Cellulose (mg)]]/Table2[[#This Row],[Wood (mg)]]*100</f>
        <v>34.782608695652179</v>
      </c>
      <c r="G37" s="2"/>
      <c r="H37" s="2"/>
      <c r="I37" s="2"/>
    </row>
    <row r="38" spans="1:9" x14ac:dyDescent="0.75">
      <c r="A38" s="1" t="s">
        <v>53</v>
      </c>
      <c r="B38" s="1">
        <v>37</v>
      </c>
      <c r="C38" s="1" t="s">
        <v>42</v>
      </c>
      <c r="D38" s="2">
        <v>9.4</v>
      </c>
      <c r="E38" s="2">
        <v>3.3</v>
      </c>
      <c r="F38" s="2">
        <f>+Table2[[#This Row],[Cellulose (mg)]]/Table2[[#This Row],[Wood (mg)]]*100</f>
        <v>35.106382978723403</v>
      </c>
      <c r="G38" s="2"/>
      <c r="H38" s="2"/>
      <c r="I38" s="2"/>
    </row>
    <row r="39" spans="1:9" x14ac:dyDescent="0.75">
      <c r="A39" s="1" t="s">
        <v>52</v>
      </c>
      <c r="B39" s="1">
        <v>38</v>
      </c>
      <c r="C39" s="1" t="s">
        <v>43</v>
      </c>
      <c r="D39" s="2">
        <v>6.1</v>
      </c>
      <c r="E39" s="2">
        <v>1.4</v>
      </c>
      <c r="F39" s="2">
        <f>+Table2[[#This Row],[Cellulose (mg)]]/Table2[[#This Row],[Wood (mg)]]*100</f>
        <v>22.950819672131146</v>
      </c>
      <c r="G39" s="2"/>
      <c r="H39" s="2"/>
      <c r="I39" s="2"/>
    </row>
    <row r="40" spans="1:9" x14ac:dyDescent="0.75">
      <c r="A40" s="1" t="s">
        <v>51</v>
      </c>
      <c r="B40" s="1">
        <v>39</v>
      </c>
      <c r="C40" s="1" t="s">
        <v>44</v>
      </c>
      <c r="D40" s="2">
        <v>9.6</v>
      </c>
      <c r="E40" s="2">
        <v>3.4</v>
      </c>
      <c r="F40" s="2">
        <f>+Table2[[#This Row],[Cellulose (mg)]]/Table2[[#This Row],[Wood (mg)]]*100</f>
        <v>35.416666666666671</v>
      </c>
      <c r="G40" s="2"/>
      <c r="H40" s="2"/>
      <c r="I40" s="2"/>
    </row>
    <row r="41" spans="1:9" x14ac:dyDescent="0.75">
      <c r="A41" s="1" t="s">
        <v>50</v>
      </c>
      <c r="B41" s="1">
        <v>40</v>
      </c>
      <c r="C41" s="1" t="s">
        <v>45</v>
      </c>
      <c r="D41" s="2">
        <v>6.6</v>
      </c>
      <c r="E41" s="2">
        <v>2.1</v>
      </c>
      <c r="F41" s="2">
        <f>+Table2[[#This Row],[Cellulose (mg)]]/Table2[[#This Row],[Wood (mg)]]*100</f>
        <v>31.818181818181824</v>
      </c>
      <c r="G41" s="2"/>
      <c r="H41" s="2"/>
      <c r="I41" s="2"/>
    </row>
    <row r="42" spans="1:9" x14ac:dyDescent="0.75">
      <c r="A42" s="1" t="s">
        <v>49</v>
      </c>
      <c r="B42" s="1">
        <v>41</v>
      </c>
      <c r="C42" s="1" t="s">
        <v>46</v>
      </c>
      <c r="D42" s="2">
        <v>5.0999999999999996</v>
      </c>
      <c r="E42" s="2">
        <v>1.7</v>
      </c>
      <c r="F42" s="2">
        <f>+Table2[[#This Row],[Cellulose (mg)]]/Table2[[#This Row],[Wood (mg)]]*100</f>
        <v>33.333333333333336</v>
      </c>
      <c r="G42" s="2"/>
      <c r="H42" s="2"/>
      <c r="I42" s="2"/>
    </row>
    <row r="43" spans="1:9" x14ac:dyDescent="0.75">
      <c r="A43" s="1" t="s">
        <v>48</v>
      </c>
      <c r="B43" s="1">
        <v>42</v>
      </c>
      <c r="C43" s="1" t="s">
        <v>47</v>
      </c>
      <c r="D43" s="2">
        <v>9.5</v>
      </c>
      <c r="E43" s="2">
        <v>3.7</v>
      </c>
      <c r="F43" s="2">
        <f>+Table2[[#This Row],[Cellulose (mg)]]/Table2[[#This Row],[Wood (mg)]]*100</f>
        <v>38.947368421052637</v>
      </c>
      <c r="G43" s="2"/>
      <c r="H43" s="2"/>
      <c r="I43" s="2"/>
    </row>
    <row r="44" spans="1:9" x14ac:dyDescent="0.75">
      <c r="D44" s="2"/>
      <c r="E44" s="2"/>
      <c r="F44" s="2">
        <f>(_xlfn.STDEV.P(F2:F28,F36,F37,F38,F39,F40,F41,F42))/SQRT(37)</f>
        <v>1.1896128976659204</v>
      </c>
      <c r="G44" s="2"/>
      <c r="H44" s="2"/>
      <c r="I44" s="2"/>
    </row>
    <row r="45" spans="1:9" x14ac:dyDescent="0.75">
      <c r="F45" s="2">
        <f>AVERAGE(F2:F28, F37:F43)</f>
        <v>36.103074560112717</v>
      </c>
    </row>
  </sheetData>
  <phoneticPr fontId="1" type="noConversion"/>
  <pageMargins left="0.7" right="0.7" top="0.75" bottom="0.75" header="0.3" footer="0.3"/>
  <pageSetup paperSize="9" scale="82" fitToHeight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A642A57D906E4BABB26AE63AD69356" ma:contentTypeVersion="4" ma:contentTypeDescription="Crear nuevo documento." ma:contentTypeScope="" ma:versionID="4b8b1b7362e590b3257b297a739c41d7">
  <xsd:schema xmlns:xsd="http://www.w3.org/2001/XMLSchema" xmlns:xs="http://www.w3.org/2001/XMLSchema" xmlns:p="http://schemas.microsoft.com/office/2006/metadata/properties" xmlns:ns3="7ea3dcc7-3087-49a9-bebf-dfe548a88604" targetNamespace="http://schemas.microsoft.com/office/2006/metadata/properties" ma:root="true" ma:fieldsID="7046052237ede1ae3cfc80b3618a9d34" ns3:_="">
    <xsd:import namespace="7ea3dcc7-3087-49a9-bebf-dfe548a8860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a3dcc7-3087-49a9-bebf-dfe548a8860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C1D5C7-080D-4E81-B573-882A60A1C6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a3dcc7-3087-49a9-bebf-dfe548a886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D8D348-A4DD-4C74-836C-0DA0310AE1EC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7ea3dcc7-3087-49a9-bebf-dfe548a8860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0EBFBDE-C893-4931-9A4F-F289F0ED3B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Fernandez Cancelo</dc:creator>
  <cp:lastModifiedBy>Teresa Gimeno</cp:lastModifiedBy>
  <cp:lastPrinted>2025-10-03T07:53:54Z</cp:lastPrinted>
  <dcterms:created xsi:type="dcterms:W3CDTF">2025-09-18T12:06:41Z</dcterms:created>
  <dcterms:modified xsi:type="dcterms:W3CDTF">2026-08-31T12:34:51Z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0x01010022A642A57D906E4BABB26AE63AD69356</vt:lpwstr>
  </property>
</Properties>
</file>