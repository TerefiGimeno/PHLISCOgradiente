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illermo.lopez\Desktop\PHLISCO\gradiente_2023\soil_gradiente_2023\"/>
    </mc:Choice>
  </mc:AlternateContent>
  <xr:revisionPtr revIDLastSave="0" documentId="8_{E2EE0FD1-F14E-476B-83C0-5A2B46D4D7CD}" xr6:coauthVersionLast="36" xr6:coauthVersionMax="36" xr10:uidLastSave="{00000000-0000-0000-0000-000000000000}"/>
  <bookViews>
    <workbookView xWindow="0" yWindow="0" windowWidth="19200" windowHeight="6930" xr2:uid="{247D29DD-5913-4114-8ED9-D02EA7864F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" i="1" l="1"/>
  <c r="H7" i="1" s="1"/>
  <c r="F9" i="1"/>
  <c r="E9" i="1"/>
  <c r="G9" i="1" s="1"/>
  <c r="H9" i="1" s="1"/>
  <c r="F7" i="1"/>
  <c r="E7" i="1"/>
  <c r="F4" i="1"/>
  <c r="G4" i="1" s="1"/>
  <c r="H4" i="1" s="1"/>
  <c r="E4" i="1"/>
  <c r="F3" i="1"/>
  <c r="E3" i="1"/>
  <c r="G3" i="1" s="1"/>
  <c r="H3" i="1" s="1"/>
  <c r="F8" i="1"/>
  <c r="E8" i="1"/>
  <c r="G8" i="1" s="1"/>
  <c r="H8" i="1" s="1"/>
  <c r="F6" i="1"/>
  <c r="E6" i="1"/>
  <c r="G6" i="1" s="1"/>
  <c r="H6" i="1" s="1"/>
  <c r="F2" i="1"/>
  <c r="E2" i="1"/>
  <c r="G2" i="1" s="1"/>
  <c r="H2" i="1" l="1"/>
</calcChain>
</file>

<file path=xl/sharedStrings.xml><?xml version="1.0" encoding="utf-8"?>
<sst xmlns="http://schemas.openxmlformats.org/spreadsheetml/2006/main" count="27" uniqueCount="17">
  <si>
    <t>site</t>
  </si>
  <si>
    <t>season</t>
  </si>
  <si>
    <t>spring</t>
  </si>
  <si>
    <t>summer</t>
  </si>
  <si>
    <t>gwc</t>
  </si>
  <si>
    <t>vwc</t>
  </si>
  <si>
    <t>swc</t>
  </si>
  <si>
    <t>swp</t>
  </si>
  <si>
    <t>art</t>
  </si>
  <si>
    <t>ber</t>
  </si>
  <si>
    <t>itu</t>
  </si>
  <si>
    <t>diu</t>
  </si>
  <si>
    <t>date</t>
  </si>
  <si>
    <t>bag weight_g</t>
  </si>
  <si>
    <t>fw_g</t>
  </si>
  <si>
    <t>dw_g</t>
  </si>
  <si>
    <t>water_weight_g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</si>
</sst>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2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477AB-1FD3-4738-BE84-2039D9691CD1}">
  <dimension ref="A1:K9"/>
  <sheetViews>
    <sheetView tabSelected="1" workbookViewId="0">
      <selection activeCell="G15" sqref="G15"/>
    </sheetView>
  </sheetViews>
  <sheetFormatPr defaultRowHeight="14.5" x14ac:dyDescent="0.35"/>
  <cols>
    <col min="1" max="1" width="3.7265625" style="1" bestFit="1" customWidth="1"/>
    <col min="2" max="2" width="8.81640625" style="1" bestFit="1" customWidth="1"/>
    <col min="3" max="3" width="11.81640625" style="1" bestFit="1" customWidth="1"/>
    <col min="4" max="4" width="11.7265625" style="1" bestFit="1" customWidth="1"/>
    <col min="5" max="6" width="8.7265625" style="1"/>
    <col min="7" max="7" width="12.1796875" style="1" bestFit="1" customWidth="1"/>
    <col min="8" max="16384" width="8.7265625" style="1"/>
  </cols>
  <sheetData>
    <row r="1" spans="1:11" x14ac:dyDescent="0.35">
      <c r="A1" s="1" t="s">
        <v>0</v>
      </c>
      <c r="B1" s="1" t="s">
        <v>12</v>
      </c>
      <c r="C1" s="1" t="s">
        <v>1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4</v>
      </c>
      <c r="I1" s="1" t="s">
        <v>5</v>
      </c>
      <c r="J1" s="1" t="s">
        <v>6</v>
      </c>
      <c r="K1" s="1" t="s">
        <v>7</v>
      </c>
    </row>
    <row r="2" spans="1:11" x14ac:dyDescent="0.35">
      <c r="A2" s="1" t="s">
        <v>8</v>
      </c>
      <c r="B2" s="1">
        <v>20230607</v>
      </c>
      <c r="C2" s="1" t="s">
        <v>2</v>
      </c>
      <c r="D2" s="2">
        <v>3.61</v>
      </c>
      <c r="E2" s="2">
        <f>308.81-D2</f>
        <v>305.2</v>
      </c>
      <c r="F2" s="2">
        <f>238.6-D2</f>
        <v>234.98999999999998</v>
      </c>
      <c r="G2" s="2">
        <f t="shared" ref="G2:G4" si="0">E2-F2</f>
        <v>70.210000000000008</v>
      </c>
      <c r="H2" s="2">
        <f t="shared" ref="H2" si="1">G2/E2</f>
        <v>0.23004587155963307</v>
      </c>
    </row>
    <row r="3" spans="1:11" x14ac:dyDescent="0.35">
      <c r="A3" s="1" t="s">
        <v>8</v>
      </c>
      <c r="B3" s="1">
        <v>20230831</v>
      </c>
      <c r="C3" s="1" t="s">
        <v>3</v>
      </c>
      <c r="D3" s="2">
        <v>3.63</v>
      </c>
      <c r="E3" s="2">
        <f>685.19-D3</f>
        <v>681.56000000000006</v>
      </c>
      <c r="F3" s="2">
        <f>513.09-D3</f>
        <v>509.46000000000004</v>
      </c>
      <c r="G3" s="2">
        <f t="shared" si="0"/>
        <v>172.10000000000002</v>
      </c>
      <c r="H3" s="2">
        <f>G3/E3</f>
        <v>0.25250895005575447</v>
      </c>
    </row>
    <row r="4" spans="1:11" x14ac:dyDescent="0.35">
      <c r="A4" s="1" t="s">
        <v>9</v>
      </c>
      <c r="B4" s="1">
        <v>20230608</v>
      </c>
      <c r="C4" s="1" t="s">
        <v>2</v>
      </c>
      <c r="D4" s="2">
        <v>3.61</v>
      </c>
      <c r="E4" s="2">
        <f>369.81-D4</f>
        <v>366.2</v>
      </c>
      <c r="F4" s="2">
        <f>300.68-D4</f>
        <v>297.07</v>
      </c>
      <c r="G4" s="2">
        <f t="shared" si="0"/>
        <v>69.13</v>
      </c>
      <c r="H4" s="2">
        <f t="shared" ref="H4" si="2">G4/E4</f>
        <v>0.18877662479519389</v>
      </c>
    </row>
    <row r="5" spans="1:11" x14ac:dyDescent="0.35">
      <c r="A5" s="1" t="s">
        <v>9</v>
      </c>
      <c r="B5" s="1">
        <v>20230830</v>
      </c>
      <c r="C5" s="1" t="s">
        <v>3</v>
      </c>
      <c r="D5" s="2"/>
      <c r="E5" s="2"/>
      <c r="F5" s="2"/>
      <c r="G5" s="2"/>
      <c r="H5" s="2"/>
    </row>
    <row r="6" spans="1:11" x14ac:dyDescent="0.35">
      <c r="A6" s="1" t="s">
        <v>10</v>
      </c>
      <c r="B6" s="1">
        <v>20230606</v>
      </c>
      <c r="C6" s="1" t="s">
        <v>2</v>
      </c>
      <c r="D6" s="2">
        <v>3.64</v>
      </c>
      <c r="E6" s="2">
        <f>301.42-D6</f>
        <v>297.78000000000003</v>
      </c>
      <c r="F6" s="2">
        <f>264.03-D6</f>
        <v>260.39</v>
      </c>
      <c r="G6" s="2">
        <f>E6-F6</f>
        <v>37.390000000000043</v>
      </c>
      <c r="H6" s="2">
        <f t="shared" ref="H6" si="3">G6/E6</f>
        <v>0.12556249580227027</v>
      </c>
    </row>
    <row r="7" spans="1:11" x14ac:dyDescent="0.35">
      <c r="A7" s="1" t="s">
        <v>10</v>
      </c>
      <c r="B7" s="1">
        <v>20230829</v>
      </c>
      <c r="C7" s="1" t="s">
        <v>3</v>
      </c>
      <c r="D7" s="2">
        <v>3.63</v>
      </c>
      <c r="E7" s="2">
        <f>441.32-D7</f>
        <v>437.69</v>
      </c>
      <c r="F7" s="2">
        <f>389.73-D7</f>
        <v>386.1</v>
      </c>
      <c r="G7" s="2">
        <f>E7-F7</f>
        <v>51.589999999999975</v>
      </c>
      <c r="H7" s="2">
        <f>G7/E7</f>
        <v>0.11786881125911028</v>
      </c>
    </row>
    <row r="8" spans="1:11" x14ac:dyDescent="0.35">
      <c r="A8" s="1" t="s">
        <v>11</v>
      </c>
      <c r="B8" s="1">
        <v>20230615</v>
      </c>
      <c r="C8" s="1" t="s">
        <v>2</v>
      </c>
      <c r="D8" s="2">
        <v>3.61</v>
      </c>
      <c r="E8" s="2">
        <f>534.04-D8</f>
        <v>530.42999999999995</v>
      </c>
      <c r="F8" s="2">
        <f>427.26-D8</f>
        <v>423.65</v>
      </c>
      <c r="G8" s="2">
        <f>E8-F8</f>
        <v>106.77999999999997</v>
      </c>
      <c r="H8" s="2">
        <f t="shared" ref="H8:H9" si="4">G8/E8</f>
        <v>0.20130837245253846</v>
      </c>
    </row>
    <row r="9" spans="1:11" x14ac:dyDescent="0.35">
      <c r="A9" s="1" t="s">
        <v>11</v>
      </c>
      <c r="B9" s="1">
        <v>20230901</v>
      </c>
      <c r="C9" s="1" t="s">
        <v>3</v>
      </c>
      <c r="D9" s="2">
        <v>3.62</v>
      </c>
      <c r="E9" s="2">
        <f>277.74-D9</f>
        <v>274.12</v>
      </c>
      <c r="F9" s="2">
        <f>251.24-D9</f>
        <v>247.62</v>
      </c>
      <c r="G9" s="2">
        <f>E9-F9</f>
        <v>26.5</v>
      </c>
      <c r="H9" s="2">
        <f t="shared" si="4"/>
        <v>9.6672989931416903E-2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BC3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DE JESUS LOPEZ CASTRO</dc:creator>
  <cp:lastModifiedBy>GUILLERMO DE JESUS LOPEZ CASTRO</cp:lastModifiedBy>
  <dcterms:created xsi:type="dcterms:W3CDTF">2023-09-18T13:44:06Z</dcterms:created>
  <dcterms:modified xsi:type="dcterms:W3CDTF">2023-09-18T14:28:24Z</dcterms:modified>
</cp:coreProperties>
</file>