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30" activeTab="1"/>
  </bookViews>
  <sheets>
    <sheet name="Vallcebre y MontejoSierra" sheetId="1" r:id="rId1"/>
    <sheet name="Orduña_summer_orientacion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2" l="1"/>
  <c r="P2" i="2"/>
  <c r="Q2" i="2"/>
  <c r="R2" i="2" s="1"/>
  <c r="S2" i="2" s="1"/>
  <c r="T2" i="2" s="1"/>
  <c r="O3" i="2"/>
  <c r="P3" i="2"/>
  <c r="Q3" i="2"/>
  <c r="R3" i="2" s="1"/>
  <c r="S3" i="2" s="1"/>
  <c r="T3" i="2" s="1"/>
  <c r="O4" i="2"/>
  <c r="P4" i="2"/>
  <c r="Q4" i="2"/>
  <c r="R4" i="2" s="1"/>
  <c r="S4" i="2" s="1"/>
  <c r="T4" i="2" s="1"/>
  <c r="O5" i="2"/>
  <c r="P5" i="2"/>
  <c r="Q5" i="2"/>
  <c r="R5" i="2" s="1"/>
  <c r="S5" i="2" s="1"/>
  <c r="T5" i="2" s="1"/>
  <c r="O6" i="2"/>
  <c r="P6" i="2"/>
  <c r="Q6" i="2"/>
  <c r="R6" i="2" s="1"/>
  <c r="S6" i="2" s="1"/>
  <c r="T6" i="2" s="1"/>
  <c r="O7" i="2"/>
  <c r="P7" i="2"/>
  <c r="Q7" i="2"/>
  <c r="R7" i="2" s="1"/>
  <c r="S7" i="2" s="1"/>
  <c r="T7" i="2" s="1"/>
  <c r="O8" i="2"/>
  <c r="P8" i="2"/>
  <c r="Q8" i="2"/>
  <c r="R8" i="2" s="1"/>
  <c r="S8" i="2" s="1"/>
  <c r="T8" i="2" s="1"/>
  <c r="O9" i="2"/>
  <c r="P9" i="2"/>
  <c r="Q9" i="2"/>
  <c r="R9" i="2" s="1"/>
  <c r="S9" i="2" s="1"/>
  <c r="T9" i="2" s="1"/>
  <c r="O10" i="2"/>
  <c r="P10" i="2"/>
  <c r="Q10" i="2"/>
  <c r="R10" i="2" s="1"/>
  <c r="S10" i="2" s="1"/>
  <c r="T10" i="2" s="1"/>
  <c r="O11" i="2"/>
  <c r="P11" i="2"/>
  <c r="Q11" i="2"/>
  <c r="R11" i="2" s="1"/>
  <c r="S11" i="2" s="1"/>
  <c r="T11" i="2" s="1"/>
  <c r="O12" i="2"/>
  <c r="P12" i="2"/>
  <c r="Q12" i="2"/>
  <c r="R12" i="2" s="1"/>
  <c r="S12" i="2" s="1"/>
  <c r="T12" i="2" s="1"/>
  <c r="O13" i="2"/>
  <c r="P13" i="2"/>
  <c r="Q13" i="2"/>
  <c r="R13" i="2" s="1"/>
  <c r="S13" i="2" s="1"/>
  <c r="T13" i="2" s="1"/>
  <c r="O14" i="2"/>
  <c r="P14" i="2"/>
  <c r="Q14" i="2"/>
  <c r="R14" i="2" s="1"/>
  <c r="S14" i="2" s="1"/>
  <c r="T14" i="2" s="1"/>
  <c r="M2" i="1"/>
  <c r="N2" i="1"/>
  <c r="O2" i="1"/>
  <c r="P2" i="1"/>
  <c r="Q2" i="1"/>
  <c r="R2" i="1" s="1"/>
  <c r="M3" i="1"/>
  <c r="N3" i="1"/>
  <c r="O3" i="1"/>
  <c r="P3" i="1"/>
  <c r="Q3" i="1"/>
  <c r="R3" i="1" s="1"/>
  <c r="M4" i="1"/>
  <c r="N4" i="1"/>
  <c r="O4" i="1"/>
  <c r="P4" i="1"/>
  <c r="Q4" i="1"/>
  <c r="R4" i="1" s="1"/>
  <c r="M5" i="1"/>
  <c r="N5" i="1"/>
  <c r="O5" i="1"/>
  <c r="P5" i="1"/>
  <c r="Q5" i="1"/>
  <c r="R5" i="1" s="1"/>
  <c r="M6" i="1"/>
  <c r="N6" i="1"/>
  <c r="O6" i="1"/>
  <c r="P6" i="1"/>
  <c r="Q6" i="1"/>
  <c r="R6" i="1" s="1"/>
  <c r="M7" i="1"/>
  <c r="N7" i="1"/>
  <c r="O7" i="1"/>
  <c r="P7" i="1"/>
  <c r="Q7" i="1"/>
  <c r="R7" i="1" s="1"/>
  <c r="M8" i="1"/>
  <c r="N8" i="1"/>
  <c r="O8" i="1"/>
  <c r="P8" i="1"/>
  <c r="Q8" i="1"/>
  <c r="R8" i="1" s="1"/>
  <c r="M9" i="1"/>
  <c r="N9" i="1"/>
  <c r="O9" i="1"/>
  <c r="P9" i="1"/>
  <c r="Q9" i="1"/>
  <c r="R9" i="1" s="1"/>
  <c r="M10" i="1"/>
  <c r="N10" i="1"/>
  <c r="O10" i="1"/>
  <c r="P10" i="1"/>
  <c r="Q10" i="1"/>
  <c r="R10" i="1" s="1"/>
  <c r="M11" i="1"/>
  <c r="N11" i="1"/>
  <c r="O11" i="1"/>
  <c r="P11" i="1"/>
  <c r="Q11" i="1"/>
  <c r="R11" i="1" s="1"/>
  <c r="M12" i="1"/>
  <c r="N12" i="1"/>
  <c r="O12" i="1"/>
  <c r="P12" i="1"/>
  <c r="Q12" i="1"/>
  <c r="R12" i="1" s="1"/>
  <c r="M13" i="1"/>
  <c r="N13" i="1"/>
  <c r="O13" i="1"/>
  <c r="P13" i="1"/>
  <c r="Q13" i="1"/>
  <c r="R13" i="1" s="1"/>
  <c r="M14" i="1"/>
  <c r="N14" i="1"/>
  <c r="O14" i="1"/>
  <c r="P14" i="1"/>
  <c r="Q14" i="1"/>
  <c r="R14" i="1" s="1"/>
  <c r="M15" i="1"/>
  <c r="N15" i="1"/>
  <c r="O15" i="1"/>
  <c r="P15" i="1"/>
  <c r="Q15" i="1"/>
  <c r="R15" i="1" s="1"/>
  <c r="M16" i="1"/>
  <c r="N16" i="1"/>
  <c r="O16" i="1"/>
  <c r="P16" i="1"/>
  <c r="Q16" i="1"/>
  <c r="R16" i="1" s="1"/>
  <c r="M17" i="1"/>
  <c r="N17" i="1"/>
  <c r="O17" i="1"/>
  <c r="P17" i="1"/>
  <c r="Q17" i="1"/>
  <c r="R17" i="1" s="1"/>
  <c r="M18" i="1"/>
  <c r="N18" i="1"/>
  <c r="O18" i="1"/>
  <c r="P18" i="1"/>
  <c r="Q18" i="1"/>
  <c r="R18" i="1" s="1"/>
  <c r="M19" i="1"/>
  <c r="N19" i="1"/>
  <c r="O19" i="1"/>
  <c r="P19" i="1"/>
  <c r="Q19" i="1"/>
  <c r="R19" i="1" s="1"/>
  <c r="M20" i="1"/>
  <c r="N20" i="1"/>
  <c r="O20" i="1"/>
  <c r="P20" i="1"/>
  <c r="Q20" i="1"/>
  <c r="R20" i="1" s="1"/>
  <c r="M21" i="1"/>
  <c r="N21" i="1"/>
  <c r="O21" i="1"/>
  <c r="P21" i="1"/>
  <c r="Q21" i="1"/>
  <c r="R21" i="1" s="1"/>
  <c r="M22" i="1"/>
  <c r="N22" i="1"/>
  <c r="O22" i="1"/>
  <c r="P22" i="1"/>
  <c r="Q22" i="1"/>
  <c r="R22" i="1" s="1"/>
  <c r="M23" i="1"/>
  <c r="N23" i="1"/>
  <c r="O23" i="1"/>
  <c r="P23" i="1"/>
  <c r="Q23" i="1"/>
  <c r="R23" i="1" s="1"/>
  <c r="M24" i="1"/>
  <c r="N24" i="1"/>
  <c r="O24" i="1"/>
  <c r="P24" i="1"/>
  <c r="Q24" i="1"/>
  <c r="R24" i="1" s="1"/>
  <c r="M25" i="1"/>
  <c r="N25" i="1"/>
  <c r="O25" i="1"/>
  <c r="P25" i="1"/>
  <c r="Q25" i="1"/>
  <c r="R25" i="1" s="1"/>
  <c r="M26" i="1"/>
  <c r="N26" i="1"/>
  <c r="O26" i="1"/>
  <c r="P26" i="1"/>
  <c r="Q26" i="1"/>
  <c r="R26" i="1" s="1"/>
  <c r="M27" i="1"/>
  <c r="N27" i="1"/>
  <c r="O27" i="1"/>
  <c r="P27" i="1"/>
  <c r="Q27" i="1"/>
  <c r="R27" i="1" s="1"/>
  <c r="M28" i="1"/>
  <c r="N28" i="1"/>
  <c r="O28" i="1"/>
  <c r="P28" i="1"/>
  <c r="Q28" i="1"/>
  <c r="R28" i="1" s="1"/>
  <c r="M29" i="1"/>
  <c r="N29" i="1"/>
  <c r="O29" i="1"/>
  <c r="P29" i="1"/>
  <c r="Q29" i="1"/>
  <c r="R29" i="1" s="1"/>
  <c r="M30" i="1"/>
  <c r="N30" i="1"/>
  <c r="O30" i="1"/>
  <c r="P30" i="1"/>
  <c r="Q30" i="1"/>
  <c r="R30" i="1" s="1"/>
  <c r="M31" i="1"/>
  <c r="N31" i="1"/>
  <c r="O31" i="1"/>
  <c r="P31" i="1"/>
  <c r="Q31" i="1"/>
  <c r="R31" i="1" s="1"/>
  <c r="M32" i="1"/>
  <c r="N32" i="1"/>
  <c r="O32" i="1"/>
  <c r="P32" i="1"/>
  <c r="Q32" i="1"/>
  <c r="R32" i="1" s="1"/>
  <c r="M33" i="1"/>
  <c r="N33" i="1"/>
  <c r="O33" i="1"/>
  <c r="P33" i="1"/>
  <c r="Q33" i="1"/>
  <c r="R33" i="1" s="1"/>
  <c r="M34" i="1"/>
  <c r="N34" i="1"/>
  <c r="O34" i="1"/>
  <c r="P34" i="1"/>
  <c r="Q34" i="1"/>
  <c r="R34" i="1" s="1"/>
  <c r="M35" i="1"/>
  <c r="N35" i="1"/>
  <c r="O35" i="1"/>
  <c r="P35" i="1"/>
  <c r="Q35" i="1"/>
  <c r="R35" i="1" s="1"/>
  <c r="M36" i="1"/>
  <c r="N36" i="1"/>
  <c r="O36" i="1"/>
  <c r="P36" i="1"/>
  <c r="Q36" i="1" s="1"/>
  <c r="R36" i="1" s="1"/>
  <c r="M37" i="1"/>
  <c r="N37" i="1"/>
  <c r="O37" i="1"/>
  <c r="P37" i="1"/>
  <c r="Q37" i="1"/>
  <c r="R37" i="1" s="1"/>
  <c r="M38" i="1"/>
  <c r="N38" i="1"/>
  <c r="O38" i="1"/>
  <c r="P38" i="1"/>
  <c r="Q38" i="1"/>
  <c r="R38" i="1" s="1"/>
  <c r="M39" i="1"/>
  <c r="N39" i="1"/>
  <c r="O39" i="1"/>
  <c r="P39" i="1"/>
  <c r="Q39" i="1"/>
  <c r="R39" i="1" s="1"/>
  <c r="M40" i="1"/>
  <c r="N40" i="1"/>
  <c r="O40" i="1"/>
  <c r="P40" i="1"/>
  <c r="Q40" i="1"/>
  <c r="R40" i="1" s="1"/>
  <c r="M41" i="1"/>
  <c r="N41" i="1"/>
  <c r="O41" i="1"/>
  <c r="P41" i="1"/>
  <c r="Q41" i="1"/>
  <c r="R41" i="1" s="1"/>
  <c r="M42" i="1"/>
  <c r="N42" i="1"/>
  <c r="O42" i="1"/>
  <c r="P42" i="1"/>
  <c r="Q42" i="1"/>
  <c r="R42" i="1" s="1"/>
  <c r="M43" i="1"/>
  <c r="N43" i="1"/>
  <c r="O43" i="1"/>
  <c r="P43" i="1"/>
  <c r="Q43" i="1"/>
  <c r="R43" i="1" s="1"/>
  <c r="M44" i="1"/>
  <c r="N44" i="1"/>
  <c r="O44" i="1"/>
  <c r="P44" i="1"/>
  <c r="Q44" i="1"/>
  <c r="R44" i="1" s="1"/>
  <c r="M45" i="1"/>
  <c r="N45" i="1"/>
  <c r="O45" i="1"/>
  <c r="P45" i="1"/>
  <c r="Q45" i="1"/>
  <c r="R45" i="1" s="1"/>
  <c r="M46" i="1"/>
  <c r="N46" i="1"/>
  <c r="O46" i="1"/>
  <c r="P46" i="1"/>
  <c r="Q46" i="1"/>
  <c r="R46" i="1" s="1"/>
</calcChain>
</file>

<file path=xl/sharedStrings.xml><?xml version="1.0" encoding="utf-8"?>
<sst xmlns="http://schemas.openxmlformats.org/spreadsheetml/2006/main" count="250" uniqueCount="98">
  <si>
    <t>montejo_sierra</t>
  </si>
  <si>
    <t>BPH</t>
  </si>
  <si>
    <t>vallcebre</t>
  </si>
  <si>
    <t>SPH</t>
  </si>
  <si>
    <t>pine_30</t>
  </si>
  <si>
    <t>V30</t>
  </si>
  <si>
    <t>pine_29</t>
  </si>
  <si>
    <t>V29</t>
  </si>
  <si>
    <t>pine_28</t>
  </si>
  <si>
    <t>V28</t>
  </si>
  <si>
    <t>pine_27</t>
  </si>
  <si>
    <t>V27</t>
  </si>
  <si>
    <t>pine_26</t>
  </si>
  <si>
    <t>V26</t>
  </si>
  <si>
    <t>pine_25</t>
  </si>
  <si>
    <t>V25</t>
  </si>
  <si>
    <t>pine_24</t>
  </si>
  <si>
    <t>V24</t>
  </si>
  <si>
    <t>pine_23</t>
  </si>
  <si>
    <t>V23</t>
  </si>
  <si>
    <t>pine_22</t>
  </si>
  <si>
    <t>V22</t>
  </si>
  <si>
    <t>pine_21</t>
  </si>
  <si>
    <t>V21</t>
  </si>
  <si>
    <t>pine_20</t>
  </si>
  <si>
    <t>V20</t>
  </si>
  <si>
    <t>pine_19</t>
  </si>
  <si>
    <t>V19</t>
  </si>
  <si>
    <t>pine_18</t>
  </si>
  <si>
    <t>V18</t>
  </si>
  <si>
    <t>pine_17</t>
  </si>
  <si>
    <t>V17</t>
  </si>
  <si>
    <t>pine_16</t>
  </si>
  <si>
    <t>V16</t>
  </si>
  <si>
    <t>pine_15</t>
  </si>
  <si>
    <t>V15</t>
  </si>
  <si>
    <t>pine_14</t>
  </si>
  <si>
    <t>V14</t>
  </si>
  <si>
    <t>pine_13</t>
  </si>
  <si>
    <t>V13</t>
  </si>
  <si>
    <t>pine_12</t>
  </si>
  <si>
    <t>V12</t>
  </si>
  <si>
    <t>pine_11</t>
  </si>
  <si>
    <t>V11</t>
  </si>
  <si>
    <t>pine_10</t>
  </si>
  <si>
    <t>V10</t>
  </si>
  <si>
    <t>pine_9</t>
  </si>
  <si>
    <t>V9</t>
  </si>
  <si>
    <t>pine_8</t>
  </si>
  <si>
    <t>V8</t>
  </si>
  <si>
    <t>pine_7</t>
  </si>
  <si>
    <t>V7</t>
  </si>
  <si>
    <t>pine_6</t>
  </si>
  <si>
    <t>V6</t>
  </si>
  <si>
    <t>pine_5</t>
  </si>
  <si>
    <t>V5</t>
  </si>
  <si>
    <t>pine_4</t>
  </si>
  <si>
    <t>V4</t>
  </si>
  <si>
    <t>pine_3</t>
  </si>
  <si>
    <t>V3</t>
  </si>
  <si>
    <t>pine_2</t>
  </si>
  <si>
    <t>V2</t>
  </si>
  <si>
    <t>pine_1</t>
  </si>
  <si>
    <t>V1</t>
  </si>
  <si>
    <t>mg_C_ml</t>
  </si>
  <si>
    <t>mg_sac_ml</t>
  </si>
  <si>
    <t>Aplicando la recta sacarosa_um_ml</t>
  </si>
  <si>
    <t>Promedio sacarosa</t>
  </si>
  <si>
    <t>Sac_rep_02-01</t>
  </si>
  <si>
    <t>Sac 02-01</t>
  </si>
  <si>
    <t>rep_S02</t>
  </si>
  <si>
    <t>Sacarosa 02</t>
  </si>
  <si>
    <t>rep_S01</t>
  </si>
  <si>
    <t>Sacarosa 01</t>
  </si>
  <si>
    <t>Vol sacarosa (ml)</t>
  </si>
  <si>
    <t>Vol_final_pocillo_sac_(ml)</t>
  </si>
  <si>
    <t>Vol extraccion sac (ml)</t>
  </si>
  <si>
    <t>site</t>
  </si>
  <si>
    <t>organ</t>
  </si>
  <si>
    <t>id_plant</t>
  </si>
  <si>
    <t>date</t>
  </si>
  <si>
    <t>code</t>
  </si>
  <si>
    <t>orduña</t>
  </si>
  <si>
    <t>shade_low</t>
  </si>
  <si>
    <t>sur</t>
  </si>
  <si>
    <t>summer</t>
  </si>
  <si>
    <t>oeste</t>
  </si>
  <si>
    <t>shade</t>
  </si>
  <si>
    <t>este</t>
  </si>
  <si>
    <t>sun</t>
  </si>
  <si>
    <t xml:space="preserve">shade_low </t>
  </si>
  <si>
    <t>norte</t>
  </si>
  <si>
    <t>ug_C_ml</t>
  </si>
  <si>
    <t>ug_sac_ml</t>
  </si>
  <si>
    <t>light_exposure</t>
  </si>
  <si>
    <t>orientation</t>
  </si>
  <si>
    <t>sample_type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</si>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</sst>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2" fillId="0" borderId="0" xfId="0" applyFont="1" applyFill="1"/>
    <xf numFmtId="0" fontId="1" fillId="0" borderId="0" xfId="0" applyFont="1" applyFill="1"/>
    <xf numFmtId="0" fontId="3" fillId="0" borderId="0" xfId="0" applyFont="1" applyFill="1"/>
    <xf numFmtId="0" fontId="5" fillId="0" borderId="0" xfId="1" applyFont="1" applyFill="1"/>
    <xf numFmtId="0" fontId="6" fillId="0" borderId="0" xfId="1" applyFont="1" applyFill="1"/>
    <xf numFmtId="0" fontId="1" fillId="0" borderId="0" xfId="0" applyFont="1"/>
    <xf numFmtId="1" fontId="2" fillId="0" borderId="0" xfId="0" applyNumberFormat="1" applyFont="1" applyFill="1"/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Views>
    <sheetView workbookViewId="0">
      <selection activeCell="T42" sqref="T42"/>
    </sheetView>
  </sheetViews>
  <sheetFormatPr defaultRowHeight="15" x14ac:dyDescent="0.25"/>
  <cols>
    <col min="6" max="6" width="13.28515625" customWidth="1"/>
  </cols>
  <sheetData>
    <row r="1" spans="1:20" ht="15.75" x14ac:dyDescent="0.25">
      <c r="A1" s="6" t="s">
        <v>81</v>
      </c>
      <c r="B1" s="2" t="s">
        <v>80</v>
      </c>
      <c r="C1" s="5" t="s">
        <v>79</v>
      </c>
      <c r="D1" s="5" t="s">
        <v>78</v>
      </c>
      <c r="E1" s="2" t="s">
        <v>77</v>
      </c>
      <c r="F1" s="5" t="s">
        <v>76</v>
      </c>
      <c r="G1" s="5" t="s">
        <v>75</v>
      </c>
      <c r="H1" s="5" t="s">
        <v>74</v>
      </c>
      <c r="I1" s="5" t="s">
        <v>73</v>
      </c>
      <c r="J1" s="5" t="s">
        <v>72</v>
      </c>
      <c r="K1" s="5" t="s">
        <v>71</v>
      </c>
      <c r="L1" s="5" t="s">
        <v>70</v>
      </c>
      <c r="M1" s="5" t="s">
        <v>69</v>
      </c>
      <c r="N1" s="5" t="s">
        <v>68</v>
      </c>
      <c r="O1" s="5" t="s">
        <v>67</v>
      </c>
      <c r="P1" s="5" t="s">
        <v>66</v>
      </c>
      <c r="Q1" s="4" t="s">
        <v>65</v>
      </c>
      <c r="R1" s="3" t="s">
        <v>64</v>
      </c>
      <c r="S1" s="3"/>
      <c r="T1" s="2"/>
    </row>
    <row r="2" spans="1:20" ht="15.75" x14ac:dyDescent="0.25">
      <c r="A2" t="s">
        <v>63</v>
      </c>
      <c r="B2">
        <v>20230711</v>
      </c>
      <c r="C2" t="s">
        <v>62</v>
      </c>
      <c r="D2" t="s">
        <v>1</v>
      </c>
      <c r="E2" t="s">
        <v>2</v>
      </c>
      <c r="F2">
        <v>10</v>
      </c>
      <c r="G2">
        <v>0.25</v>
      </c>
      <c r="H2">
        <v>0.11</v>
      </c>
      <c r="I2">
        <v>0.63300000000000001</v>
      </c>
      <c r="J2">
        <v>0.66</v>
      </c>
      <c r="K2">
        <v>3.5712000000000002</v>
      </c>
      <c r="L2">
        <v>3.3702000000000001</v>
      </c>
      <c r="M2">
        <f>K2-I2</f>
        <v>2.9382000000000001</v>
      </c>
      <c r="N2">
        <f>L2-J2</f>
        <v>2.7101999999999999</v>
      </c>
      <c r="O2">
        <f>AVERAGE(M2:N2)</f>
        <v>2.8242000000000003</v>
      </c>
      <c r="P2" s="1">
        <f>O2/4.2427*G2/H2</f>
        <v>1.5128659494275731</v>
      </c>
      <c r="Q2" s="1">
        <f>P2*342.3</f>
        <v>517.85401448905827</v>
      </c>
      <c r="R2" s="1">
        <f>Q2*0.42</f>
        <v>217.49868608540447</v>
      </c>
    </row>
    <row r="3" spans="1:20" ht="15.75" x14ac:dyDescent="0.25">
      <c r="A3" t="s">
        <v>61</v>
      </c>
      <c r="B3">
        <v>20230711</v>
      </c>
      <c r="C3" t="s">
        <v>60</v>
      </c>
      <c r="D3" t="s">
        <v>1</v>
      </c>
      <c r="E3" t="s">
        <v>2</v>
      </c>
      <c r="F3">
        <v>10</v>
      </c>
      <c r="G3">
        <v>0.25</v>
      </c>
      <c r="H3">
        <v>0.11</v>
      </c>
      <c r="I3">
        <v>0.53</v>
      </c>
      <c r="J3">
        <v>0.53700000000000003</v>
      </c>
      <c r="K3">
        <v>3.5289999999999999</v>
      </c>
      <c r="L3">
        <v>3.4793999999999996</v>
      </c>
      <c r="M3">
        <f>K3-I3</f>
        <v>2.9989999999999997</v>
      </c>
      <c r="N3">
        <f>L3-J3</f>
        <v>2.9423999999999997</v>
      </c>
      <c r="O3">
        <f>AVERAGE(M3:N3)</f>
        <v>2.9706999999999999</v>
      </c>
      <c r="P3" s="1">
        <f>O3/4.2427*G3/H3</f>
        <v>1.5913429912769954</v>
      </c>
      <c r="Q3" s="1">
        <f>P3*342.3</f>
        <v>544.71670591411555</v>
      </c>
      <c r="R3" s="1">
        <f>Q3*0.42</f>
        <v>228.78101648392851</v>
      </c>
    </row>
    <row r="4" spans="1:20" ht="15.75" x14ac:dyDescent="0.25">
      <c r="A4" t="s">
        <v>59</v>
      </c>
      <c r="B4">
        <v>20230711</v>
      </c>
      <c r="C4" t="s">
        <v>58</v>
      </c>
      <c r="D4" t="s">
        <v>1</v>
      </c>
      <c r="E4" t="s">
        <v>2</v>
      </c>
      <c r="F4">
        <v>10</v>
      </c>
      <c r="G4">
        <v>0.25</v>
      </c>
      <c r="H4">
        <v>0.11</v>
      </c>
      <c r="I4">
        <v>0.48299999999999998</v>
      </c>
      <c r="J4">
        <v>0.49399999999999999</v>
      </c>
      <c r="K4">
        <v>3.5149999999999997</v>
      </c>
      <c r="L4">
        <v>3.5443999999999996</v>
      </c>
      <c r="M4">
        <f>K4-I4</f>
        <v>3.0319999999999996</v>
      </c>
      <c r="N4">
        <f>L4-J4</f>
        <v>3.0503999999999998</v>
      </c>
      <c r="O4">
        <f>AVERAGE(M4:N4)</f>
        <v>3.0411999999999999</v>
      </c>
      <c r="P4" s="1">
        <f>O4/4.2427*G4/H4</f>
        <v>1.6291083936686972</v>
      </c>
      <c r="Q4" s="1">
        <f>P4*342.3</f>
        <v>557.64380315279504</v>
      </c>
      <c r="R4" s="1">
        <f>Q4*0.42</f>
        <v>234.2103973241739</v>
      </c>
    </row>
    <row r="5" spans="1:20" ht="15.75" x14ac:dyDescent="0.25">
      <c r="A5" t="s">
        <v>57</v>
      </c>
      <c r="B5">
        <v>20230711</v>
      </c>
      <c r="C5" t="s">
        <v>56</v>
      </c>
      <c r="D5" t="s">
        <v>3</v>
      </c>
      <c r="E5" t="s">
        <v>2</v>
      </c>
      <c r="F5">
        <v>10</v>
      </c>
      <c r="G5">
        <v>0.25</v>
      </c>
      <c r="H5">
        <v>0.11</v>
      </c>
      <c r="I5">
        <v>0.627</v>
      </c>
      <c r="J5">
        <v>0.63300000000000001</v>
      </c>
      <c r="K5">
        <v>3.5209999999999995</v>
      </c>
      <c r="L5">
        <v>3.5446</v>
      </c>
      <c r="M5">
        <f>K5-I5</f>
        <v>2.8939999999999992</v>
      </c>
      <c r="N5">
        <f>L5-J5</f>
        <v>2.9116</v>
      </c>
      <c r="O5">
        <f>AVERAGE(M5:N5)</f>
        <v>2.9027999999999996</v>
      </c>
      <c r="P5" s="1">
        <f>O5/4.2427*G5/H5</f>
        <v>1.554970355498321</v>
      </c>
      <c r="Q5" s="1">
        <f>P5*342.3</f>
        <v>532.26635268707525</v>
      </c>
      <c r="R5" s="1">
        <f>Q5*0.42</f>
        <v>223.55186812857161</v>
      </c>
    </row>
    <row r="6" spans="1:20" ht="15.75" x14ac:dyDescent="0.25">
      <c r="A6" t="s">
        <v>55</v>
      </c>
      <c r="B6">
        <v>20230711</v>
      </c>
      <c r="C6" t="s">
        <v>54</v>
      </c>
      <c r="D6" t="s">
        <v>3</v>
      </c>
      <c r="E6" t="s">
        <v>2</v>
      </c>
      <c r="F6">
        <v>10</v>
      </c>
      <c r="G6">
        <v>0.25</v>
      </c>
      <c r="H6">
        <v>0.11</v>
      </c>
      <c r="I6">
        <v>0.73799999999999999</v>
      </c>
      <c r="J6">
        <v>0.72799999999999998</v>
      </c>
      <c r="K6">
        <v>3.5805999999999996</v>
      </c>
      <c r="L6">
        <v>3.5902000000000003</v>
      </c>
      <c r="M6">
        <f>K6-I6</f>
        <v>2.8425999999999996</v>
      </c>
      <c r="N6">
        <f>L6-J6</f>
        <v>2.8622000000000005</v>
      </c>
      <c r="O6">
        <f>AVERAGE(M6:N6)</f>
        <v>2.8524000000000003</v>
      </c>
      <c r="P6" s="1">
        <f>O6/4.2427*G6/H6</f>
        <v>1.5279721103842536</v>
      </c>
      <c r="Q6" s="1">
        <f>P6*342.3</f>
        <v>523.02485338453005</v>
      </c>
      <c r="R6" s="1">
        <f>Q6*0.42</f>
        <v>219.67043842150261</v>
      </c>
    </row>
    <row r="7" spans="1:20" ht="15.75" x14ac:dyDescent="0.25">
      <c r="A7" t="s">
        <v>53</v>
      </c>
      <c r="B7">
        <v>20230711</v>
      </c>
      <c r="C7" t="s">
        <v>52</v>
      </c>
      <c r="D7" t="s">
        <v>3</v>
      </c>
      <c r="E7" t="s">
        <v>2</v>
      </c>
      <c r="F7">
        <v>10</v>
      </c>
      <c r="G7">
        <v>0.25</v>
      </c>
      <c r="H7">
        <v>0.11</v>
      </c>
      <c r="I7">
        <v>0.60299999999999998</v>
      </c>
      <c r="J7">
        <v>0.60499999999999998</v>
      </c>
      <c r="K7">
        <v>3.5331999999999999</v>
      </c>
      <c r="L7">
        <v>3.5606</v>
      </c>
      <c r="M7">
        <f>K7-I7</f>
        <v>2.9302000000000001</v>
      </c>
      <c r="N7">
        <f>L7-J7</f>
        <v>2.9556</v>
      </c>
      <c r="O7">
        <f>AVERAGE(M7:N7)</f>
        <v>2.9428999999999998</v>
      </c>
      <c r="P7" s="1">
        <f>O7/4.2427*G7/H7</f>
        <v>1.5764511021069345</v>
      </c>
      <c r="Q7" s="1">
        <f>P7*342.3</f>
        <v>539.61921225120375</v>
      </c>
      <c r="R7" s="1">
        <f>Q7*0.42</f>
        <v>226.64006914550558</v>
      </c>
    </row>
    <row r="8" spans="1:20" ht="15.75" x14ac:dyDescent="0.25">
      <c r="A8" t="s">
        <v>51</v>
      </c>
      <c r="B8">
        <v>20230711</v>
      </c>
      <c r="C8" t="s">
        <v>50</v>
      </c>
      <c r="D8" t="s">
        <v>3</v>
      </c>
      <c r="E8" t="s">
        <v>2</v>
      </c>
      <c r="F8">
        <v>10</v>
      </c>
      <c r="G8">
        <v>0.25</v>
      </c>
      <c r="H8">
        <v>0.11</v>
      </c>
      <c r="I8">
        <v>0.51300000000000001</v>
      </c>
      <c r="J8">
        <v>0.51300000000000001</v>
      </c>
      <c r="K8">
        <v>3.0232000000000001</v>
      </c>
      <c r="L8">
        <v>3.0766</v>
      </c>
      <c r="M8">
        <f>K8-I8</f>
        <v>2.5102000000000002</v>
      </c>
      <c r="N8">
        <f>L8-J8</f>
        <v>2.5636000000000001</v>
      </c>
      <c r="O8">
        <f>AVERAGE(M8:N8)</f>
        <v>2.5369000000000002</v>
      </c>
      <c r="P8" s="1">
        <f>O8/4.2427*G8/H8</f>
        <v>1.3589652386880569</v>
      </c>
      <c r="Q8" s="1">
        <f>P8*342.3</f>
        <v>465.17380120292188</v>
      </c>
      <c r="R8" s="1">
        <f>Q8*0.42</f>
        <v>195.37299650522718</v>
      </c>
    </row>
    <row r="9" spans="1:20" ht="15.75" x14ac:dyDescent="0.25">
      <c r="A9" t="s">
        <v>49</v>
      </c>
      <c r="B9">
        <v>20230711</v>
      </c>
      <c r="C9" t="s">
        <v>48</v>
      </c>
      <c r="D9" t="s">
        <v>3</v>
      </c>
      <c r="E9" t="s">
        <v>2</v>
      </c>
      <c r="F9">
        <v>10</v>
      </c>
      <c r="G9">
        <v>0.25</v>
      </c>
      <c r="H9">
        <v>0.11</v>
      </c>
      <c r="I9">
        <v>0.74299999999999999</v>
      </c>
      <c r="J9">
        <v>0.76400000000000001</v>
      </c>
      <c r="K9">
        <v>3.6092</v>
      </c>
      <c r="L9">
        <v>3.6234000000000002</v>
      </c>
      <c r="M9">
        <f>K9-I9</f>
        <v>2.8662000000000001</v>
      </c>
      <c r="N9">
        <f>L9-J9</f>
        <v>2.8593999999999999</v>
      </c>
      <c r="O9">
        <f>AVERAGE(M9:N9)</f>
        <v>2.8628</v>
      </c>
      <c r="P9" s="1">
        <f>O9/4.2427*G9/H9</f>
        <v>1.5335431768363628</v>
      </c>
      <c r="Q9" s="1">
        <f>P9*342.3</f>
        <v>524.93182943108695</v>
      </c>
      <c r="R9" s="1">
        <f>Q9*0.42</f>
        <v>220.47136836105651</v>
      </c>
    </row>
    <row r="10" spans="1:20" ht="15.75" x14ac:dyDescent="0.25">
      <c r="A10" t="s">
        <v>47</v>
      </c>
      <c r="B10">
        <v>20230711</v>
      </c>
      <c r="C10" t="s">
        <v>46</v>
      </c>
      <c r="D10" t="s">
        <v>3</v>
      </c>
      <c r="E10" t="s">
        <v>2</v>
      </c>
      <c r="F10">
        <v>10</v>
      </c>
      <c r="G10">
        <v>0.25</v>
      </c>
      <c r="H10">
        <v>0.11</v>
      </c>
      <c r="I10">
        <v>1.179</v>
      </c>
      <c r="J10">
        <v>1.214</v>
      </c>
      <c r="K10">
        <v>3.71</v>
      </c>
      <c r="L10">
        <v>3.7058</v>
      </c>
      <c r="M10">
        <f>K10-I10</f>
        <v>2.5309999999999997</v>
      </c>
      <c r="N10">
        <f>L10-J10</f>
        <v>2.4918</v>
      </c>
      <c r="O10">
        <f>AVERAGE(M10:N10)</f>
        <v>2.5114000000000001</v>
      </c>
      <c r="P10" s="1">
        <f>O10/4.2427*G10/H10</f>
        <v>1.3453054122910584</v>
      </c>
      <c r="Q10" s="1">
        <f>P10*342.3</f>
        <v>460.49804262722932</v>
      </c>
      <c r="R10" s="1">
        <f>Q10*0.42</f>
        <v>193.4091779034363</v>
      </c>
    </row>
    <row r="11" spans="1:20" ht="15.75" x14ac:dyDescent="0.25">
      <c r="A11" t="s">
        <v>45</v>
      </c>
      <c r="B11">
        <v>20230711</v>
      </c>
      <c r="C11" t="s">
        <v>44</v>
      </c>
      <c r="D11" t="s">
        <v>3</v>
      </c>
      <c r="E11" t="s">
        <v>2</v>
      </c>
      <c r="F11">
        <v>10</v>
      </c>
      <c r="G11">
        <v>0.25</v>
      </c>
      <c r="H11">
        <v>0.11</v>
      </c>
      <c r="I11">
        <v>0.876</v>
      </c>
      <c r="J11">
        <v>0.88800000000000001</v>
      </c>
      <c r="K11">
        <v>3.6414</v>
      </c>
      <c r="L11">
        <v>3.6396000000000002</v>
      </c>
      <c r="M11">
        <f>K11-I11</f>
        <v>2.7654000000000001</v>
      </c>
      <c r="N11">
        <f>L11-J11</f>
        <v>2.7516000000000003</v>
      </c>
      <c r="O11">
        <f>AVERAGE(M11:N11)</f>
        <v>2.7585000000000002</v>
      </c>
      <c r="P11" s="1">
        <f>O11/4.2427*G11/H11</f>
        <v>1.4776718084753062</v>
      </c>
      <c r="Q11" s="1">
        <f>P11*342.3</f>
        <v>505.80706004109732</v>
      </c>
      <c r="R11" s="1">
        <f>Q11*0.42</f>
        <v>212.43896521726086</v>
      </c>
    </row>
    <row r="12" spans="1:20" ht="15.75" x14ac:dyDescent="0.25">
      <c r="A12" t="s">
        <v>43</v>
      </c>
      <c r="B12">
        <v>20230711</v>
      </c>
      <c r="C12" t="s">
        <v>42</v>
      </c>
      <c r="D12" t="s">
        <v>3</v>
      </c>
      <c r="E12" t="s">
        <v>2</v>
      </c>
      <c r="F12">
        <v>10</v>
      </c>
      <c r="G12">
        <v>0.25</v>
      </c>
      <c r="H12">
        <v>0.11</v>
      </c>
      <c r="I12">
        <v>0.88200000000000001</v>
      </c>
      <c r="J12">
        <v>0.90700000000000003</v>
      </c>
      <c r="K12">
        <v>3.6309999999999993</v>
      </c>
      <c r="L12">
        <v>3.6260000000000003</v>
      </c>
      <c r="M12">
        <f>K12-I12</f>
        <v>2.7489999999999992</v>
      </c>
      <c r="N12">
        <f>L12-J12</f>
        <v>2.7190000000000003</v>
      </c>
      <c r="O12">
        <f>AVERAGE(M12:N12)</f>
        <v>2.734</v>
      </c>
      <c r="P12" s="1">
        <f>O12/4.2427*G12/H12</f>
        <v>1.4645476615448567</v>
      </c>
      <c r="Q12" s="1">
        <f>P12*342.3</f>
        <v>501.31466454680447</v>
      </c>
      <c r="R12" s="1">
        <f>Q12*0.42</f>
        <v>210.55215910965788</v>
      </c>
    </row>
    <row r="13" spans="1:20" ht="15.75" x14ac:dyDescent="0.25">
      <c r="A13" t="s">
        <v>41</v>
      </c>
      <c r="B13">
        <v>20230711</v>
      </c>
      <c r="C13" t="s">
        <v>40</v>
      </c>
      <c r="D13" t="s">
        <v>3</v>
      </c>
      <c r="E13" t="s">
        <v>2</v>
      </c>
      <c r="F13">
        <v>10</v>
      </c>
      <c r="G13">
        <v>0.25</v>
      </c>
      <c r="H13">
        <v>0.11</v>
      </c>
      <c r="I13">
        <v>0.71499999999999997</v>
      </c>
      <c r="J13">
        <v>0.72499999999999998</v>
      </c>
      <c r="K13">
        <v>3.5634000000000001</v>
      </c>
      <c r="L13">
        <v>3.5705999999999998</v>
      </c>
      <c r="M13">
        <f>K13-I13</f>
        <v>2.8484000000000003</v>
      </c>
      <c r="N13">
        <f>L13-J13</f>
        <v>2.8455999999999997</v>
      </c>
      <c r="O13">
        <f>AVERAGE(M13:N13)</f>
        <v>2.847</v>
      </c>
      <c r="P13" s="1">
        <f>O13/4.2427*G13/H13</f>
        <v>1.5250794412648891</v>
      </c>
      <c r="Q13" s="1">
        <f>P13*342.3</f>
        <v>522.03469274497161</v>
      </c>
      <c r="R13" s="1">
        <f>Q13*0.42</f>
        <v>219.25457095288806</v>
      </c>
    </row>
    <row r="14" spans="1:20" ht="15.75" x14ac:dyDescent="0.25">
      <c r="A14" t="s">
        <v>39</v>
      </c>
      <c r="B14">
        <v>20230711</v>
      </c>
      <c r="C14" t="s">
        <v>38</v>
      </c>
      <c r="D14" t="s">
        <v>3</v>
      </c>
      <c r="E14" t="s">
        <v>2</v>
      </c>
      <c r="F14">
        <v>10</v>
      </c>
      <c r="G14">
        <v>0.25</v>
      </c>
      <c r="H14">
        <v>0.11</v>
      </c>
      <c r="I14">
        <v>0.98299999999999998</v>
      </c>
      <c r="J14">
        <v>0.98899999999999999</v>
      </c>
      <c r="K14">
        <v>3.6474000000000002</v>
      </c>
      <c r="L14">
        <v>3.6471999999999993</v>
      </c>
      <c r="M14">
        <f>K14-I14</f>
        <v>2.6644000000000001</v>
      </c>
      <c r="N14">
        <f>L14-J14</f>
        <v>2.6581999999999995</v>
      </c>
      <c r="O14">
        <f>AVERAGE(M14:N14)</f>
        <v>2.6612999999999998</v>
      </c>
      <c r="P14" s="1">
        <f>O14/4.2427*G14/H14</f>
        <v>1.4256037643267472</v>
      </c>
      <c r="Q14" s="1">
        <f>P14*342.3</f>
        <v>487.98416852904558</v>
      </c>
      <c r="R14" s="1">
        <f>Q14*0.42</f>
        <v>204.95335078219912</v>
      </c>
    </row>
    <row r="15" spans="1:20" ht="15.75" x14ac:dyDescent="0.25">
      <c r="A15" t="s">
        <v>37</v>
      </c>
      <c r="B15">
        <v>20230711</v>
      </c>
      <c r="C15" t="s">
        <v>36</v>
      </c>
      <c r="D15" t="s">
        <v>3</v>
      </c>
      <c r="E15" t="s">
        <v>2</v>
      </c>
      <c r="F15">
        <v>10</v>
      </c>
      <c r="G15">
        <v>0.25</v>
      </c>
      <c r="H15">
        <v>0.11</v>
      </c>
      <c r="I15">
        <v>0.624</v>
      </c>
      <c r="J15">
        <v>0.63300000000000001</v>
      </c>
      <c r="K15">
        <v>3.5406</v>
      </c>
      <c r="L15">
        <v>3.5480000000000005</v>
      </c>
      <c r="M15">
        <f>K15-I15</f>
        <v>2.9165999999999999</v>
      </c>
      <c r="N15">
        <f>L15-J15</f>
        <v>2.9150000000000005</v>
      </c>
      <c r="O15">
        <f>AVERAGE(M15:N15)</f>
        <v>2.9157999999999999</v>
      </c>
      <c r="P15" s="1">
        <f>O15/4.2427*G15/H15</f>
        <v>1.5619341885634577</v>
      </c>
      <c r="Q15" s="1">
        <f>P15*342.3</f>
        <v>534.65007274527159</v>
      </c>
      <c r="R15" s="1">
        <f>Q15*0.42</f>
        <v>224.55303055301405</v>
      </c>
    </row>
    <row r="16" spans="1:20" ht="15.75" x14ac:dyDescent="0.25">
      <c r="A16" t="s">
        <v>35</v>
      </c>
      <c r="B16">
        <v>20230711</v>
      </c>
      <c r="C16" t="s">
        <v>34</v>
      </c>
      <c r="D16" t="s">
        <v>3</v>
      </c>
      <c r="E16" t="s">
        <v>2</v>
      </c>
      <c r="F16">
        <v>10</v>
      </c>
      <c r="G16">
        <v>0.25</v>
      </c>
      <c r="H16">
        <v>0.11</v>
      </c>
      <c r="I16">
        <v>0.47499999999999998</v>
      </c>
      <c r="J16">
        <v>0.48</v>
      </c>
      <c r="K16">
        <v>3.4506000000000001</v>
      </c>
      <c r="L16">
        <v>3.4576000000000002</v>
      </c>
      <c r="M16">
        <f>K16-I16</f>
        <v>2.9756</v>
      </c>
      <c r="N16">
        <f>L16-J16</f>
        <v>2.9776000000000002</v>
      </c>
      <c r="O16">
        <f>AVERAGE(M16:N16)</f>
        <v>2.9766000000000004</v>
      </c>
      <c r="P16" s="1">
        <f>O16/4.2427*G16/H16</f>
        <v>1.5945035001296346</v>
      </c>
      <c r="Q16" s="1">
        <f>P16*342.3</f>
        <v>545.79854809437393</v>
      </c>
      <c r="R16" s="1">
        <f>Q16*0.42</f>
        <v>229.23539019963704</v>
      </c>
    </row>
    <row r="17" spans="1:18" ht="15.75" x14ac:dyDescent="0.25">
      <c r="A17" t="s">
        <v>33</v>
      </c>
      <c r="B17">
        <v>20230914</v>
      </c>
      <c r="C17" t="s">
        <v>32</v>
      </c>
      <c r="D17" t="s">
        <v>1</v>
      </c>
      <c r="E17" t="s">
        <v>2</v>
      </c>
      <c r="F17">
        <v>10</v>
      </c>
      <c r="G17">
        <v>0.25</v>
      </c>
      <c r="H17">
        <v>0.11</v>
      </c>
      <c r="I17">
        <v>0.83499999999999996</v>
      </c>
      <c r="J17">
        <v>0.86399999999999999</v>
      </c>
      <c r="K17">
        <v>3.6208</v>
      </c>
      <c r="L17">
        <v>3.6162000000000001</v>
      </c>
      <c r="M17">
        <f>K17-I17</f>
        <v>2.7858000000000001</v>
      </c>
      <c r="N17">
        <f>L17-J17</f>
        <v>2.7522000000000002</v>
      </c>
      <c r="O17">
        <f>AVERAGE(M17:N17)</f>
        <v>2.7690000000000001</v>
      </c>
      <c r="P17" s="1">
        <f>O17/4.2427*G17/H17</f>
        <v>1.4832964428740703</v>
      </c>
      <c r="Q17" s="1">
        <f>P17*342.3</f>
        <v>507.73237239579424</v>
      </c>
      <c r="R17" s="1">
        <f>Q17*0.42</f>
        <v>213.24759640623358</v>
      </c>
    </row>
    <row r="18" spans="1:18" ht="15.75" x14ac:dyDescent="0.25">
      <c r="A18" t="s">
        <v>31</v>
      </c>
      <c r="B18">
        <v>20230914</v>
      </c>
      <c r="C18" t="s">
        <v>30</v>
      </c>
      <c r="D18" t="s">
        <v>1</v>
      </c>
      <c r="E18" t="s">
        <v>2</v>
      </c>
      <c r="F18">
        <v>10</v>
      </c>
      <c r="G18">
        <v>0.25</v>
      </c>
      <c r="H18">
        <v>0.11</v>
      </c>
      <c r="I18">
        <v>0.58199999999999996</v>
      </c>
      <c r="J18">
        <v>0.58699999999999997</v>
      </c>
      <c r="K18">
        <v>3.5344000000000002</v>
      </c>
      <c r="L18">
        <v>3.5483999999999996</v>
      </c>
      <c r="M18">
        <f>K18-I18</f>
        <v>2.9524000000000004</v>
      </c>
      <c r="N18">
        <f>L18-J18</f>
        <v>2.9613999999999994</v>
      </c>
      <c r="O18">
        <f>AVERAGE(M18:N18)</f>
        <v>2.9569000000000001</v>
      </c>
      <c r="P18" s="1">
        <f>O18/4.2427*G18/H18</f>
        <v>1.58395061463862</v>
      </c>
      <c r="Q18" s="1">
        <f>P18*342.3</f>
        <v>542.18629539079961</v>
      </c>
      <c r="R18" s="1">
        <f>Q18*0.42</f>
        <v>227.71824406413583</v>
      </c>
    </row>
    <row r="19" spans="1:18" ht="15.75" x14ac:dyDescent="0.25">
      <c r="A19" t="s">
        <v>29</v>
      </c>
      <c r="B19">
        <v>20230914</v>
      </c>
      <c r="C19" t="s">
        <v>28</v>
      </c>
      <c r="D19" t="s">
        <v>1</v>
      </c>
      <c r="E19" t="s">
        <v>2</v>
      </c>
      <c r="F19">
        <v>10</v>
      </c>
      <c r="G19">
        <v>0.25</v>
      </c>
      <c r="H19">
        <v>0.11</v>
      </c>
      <c r="I19">
        <v>0.48599999999999999</v>
      </c>
      <c r="J19">
        <v>0.48</v>
      </c>
      <c r="K19">
        <v>3.5043999999999995</v>
      </c>
      <c r="L19">
        <v>3.4979999999999998</v>
      </c>
      <c r="M19">
        <f>K19-I19</f>
        <v>3.0183999999999997</v>
      </c>
      <c r="N19">
        <f>L19-J19</f>
        <v>3.0179999999999998</v>
      </c>
      <c r="O19">
        <f>AVERAGE(M19:N19)</f>
        <v>3.0181999999999998</v>
      </c>
      <c r="P19" s="1">
        <f>O19/4.2427*G19/H19</f>
        <v>1.6167877659380709</v>
      </c>
      <c r="Q19" s="1">
        <f>P19*342.3</f>
        <v>553.42645228060167</v>
      </c>
      <c r="R19" s="1">
        <f>Q19*0.42</f>
        <v>232.43910995785268</v>
      </c>
    </row>
    <row r="20" spans="1:18" ht="15.75" x14ac:dyDescent="0.25">
      <c r="A20" t="s">
        <v>27</v>
      </c>
      <c r="B20">
        <v>20230914</v>
      </c>
      <c r="C20" t="s">
        <v>26</v>
      </c>
      <c r="D20" t="s">
        <v>3</v>
      </c>
      <c r="E20" t="s">
        <v>2</v>
      </c>
      <c r="F20">
        <v>10</v>
      </c>
      <c r="G20">
        <v>0.25</v>
      </c>
      <c r="H20">
        <v>0.11</v>
      </c>
      <c r="I20">
        <v>0.41599999999999998</v>
      </c>
      <c r="J20">
        <v>0.41899999999999998</v>
      </c>
      <c r="K20">
        <v>2.9245999999999999</v>
      </c>
      <c r="L20">
        <v>2.9525999999999999</v>
      </c>
      <c r="M20">
        <f>K20-I20</f>
        <v>2.5085999999999999</v>
      </c>
      <c r="N20">
        <f>L20-J20</f>
        <v>2.5335999999999999</v>
      </c>
      <c r="O20">
        <f>AVERAGE(M20:N20)</f>
        <v>2.5210999999999997</v>
      </c>
      <c r="P20" s="1">
        <f>O20/4.2427*G20/H20</f>
        <v>1.3505015031165828</v>
      </c>
      <c r="Q20" s="1">
        <f>P20*342.3</f>
        <v>462.27666451680631</v>
      </c>
      <c r="R20" s="1">
        <f>Q20*0.42</f>
        <v>194.15619909705865</v>
      </c>
    </row>
    <row r="21" spans="1:18" ht="15.75" x14ac:dyDescent="0.25">
      <c r="A21" t="s">
        <v>25</v>
      </c>
      <c r="B21">
        <v>20230914</v>
      </c>
      <c r="C21" t="s">
        <v>24</v>
      </c>
      <c r="D21" t="s">
        <v>3</v>
      </c>
      <c r="E21" t="s">
        <v>2</v>
      </c>
      <c r="F21">
        <v>10</v>
      </c>
      <c r="G21">
        <v>0.25</v>
      </c>
      <c r="H21">
        <v>0.11</v>
      </c>
      <c r="I21">
        <v>0.47799999999999998</v>
      </c>
      <c r="J21">
        <v>0.48299999999999998</v>
      </c>
      <c r="K21">
        <v>3.3792</v>
      </c>
      <c r="L21">
        <v>3.3909999999999996</v>
      </c>
      <c r="M21">
        <f>K21-I21</f>
        <v>2.9012000000000002</v>
      </c>
      <c r="N21">
        <f>L21-J21</f>
        <v>2.9079999999999995</v>
      </c>
      <c r="O21">
        <f>AVERAGE(M21:N21)</f>
        <v>2.9045999999999998</v>
      </c>
      <c r="P21" s="1">
        <f>O21/4.2427*G21/H21</f>
        <v>1.5559345785381091</v>
      </c>
      <c r="Q21" s="1">
        <f>P21*342.3</f>
        <v>532.59640623359473</v>
      </c>
      <c r="R21" s="1">
        <f>Q21*0.42</f>
        <v>223.69049061810978</v>
      </c>
    </row>
    <row r="22" spans="1:18" ht="15.75" x14ac:dyDescent="0.25">
      <c r="A22" t="s">
        <v>23</v>
      </c>
      <c r="B22">
        <v>20230914</v>
      </c>
      <c r="C22" t="s">
        <v>22</v>
      </c>
      <c r="D22" t="s">
        <v>3</v>
      </c>
      <c r="E22" t="s">
        <v>2</v>
      </c>
      <c r="F22">
        <v>10</v>
      </c>
      <c r="G22">
        <v>0.25</v>
      </c>
      <c r="H22">
        <v>0.11</v>
      </c>
      <c r="I22">
        <v>0.54100000000000004</v>
      </c>
      <c r="J22">
        <v>0.57699999999999996</v>
      </c>
      <c r="K22">
        <v>3.4731999999999998</v>
      </c>
      <c r="L22">
        <v>3.4832000000000001</v>
      </c>
      <c r="M22">
        <f>K22-I22</f>
        <v>2.9321999999999999</v>
      </c>
      <c r="N22">
        <f>L22-J22</f>
        <v>2.9062000000000001</v>
      </c>
      <c r="O22">
        <f>AVERAGE(M22:N22)</f>
        <v>2.9192</v>
      </c>
      <c r="P22" s="1">
        <f>O22/4.2427*G22/H22</f>
        <v>1.5637554987497242</v>
      </c>
      <c r="Q22" s="1">
        <f>P22*342.3</f>
        <v>535.27350722203062</v>
      </c>
      <c r="R22" s="1">
        <f>Q22*0.42</f>
        <v>224.81487303325284</v>
      </c>
    </row>
    <row r="23" spans="1:18" ht="15.75" x14ac:dyDescent="0.25">
      <c r="A23" t="s">
        <v>21</v>
      </c>
      <c r="B23">
        <v>20230914</v>
      </c>
      <c r="C23" t="s">
        <v>20</v>
      </c>
      <c r="D23" t="s">
        <v>3</v>
      </c>
      <c r="E23" t="s">
        <v>2</v>
      </c>
      <c r="F23">
        <v>10</v>
      </c>
      <c r="G23">
        <v>0.25</v>
      </c>
      <c r="H23">
        <v>0.11</v>
      </c>
      <c r="I23">
        <v>0.54400000000000004</v>
      </c>
      <c r="J23">
        <v>0.56799999999999995</v>
      </c>
      <c r="K23">
        <v>3.5182000000000002</v>
      </c>
      <c r="L23">
        <v>3.5356000000000001</v>
      </c>
      <c r="M23">
        <f>K23-I23</f>
        <v>2.9742000000000002</v>
      </c>
      <c r="N23">
        <f>L23-J23</f>
        <v>2.9676</v>
      </c>
      <c r="O23">
        <f>AVERAGE(M23:N23)</f>
        <v>2.9709000000000003</v>
      </c>
      <c r="P23" s="1">
        <f>O23/4.2427*G23/H23</f>
        <v>1.5914501271703054</v>
      </c>
      <c r="Q23" s="1">
        <f>P23*342.3</f>
        <v>544.75337853039559</v>
      </c>
      <c r="R23" s="1">
        <f>Q23*0.42</f>
        <v>228.79641898276614</v>
      </c>
    </row>
    <row r="24" spans="1:18" ht="15.75" x14ac:dyDescent="0.25">
      <c r="A24" t="s">
        <v>19</v>
      </c>
      <c r="B24">
        <v>20230914</v>
      </c>
      <c r="C24" t="s">
        <v>18</v>
      </c>
      <c r="D24" t="s">
        <v>3</v>
      </c>
      <c r="E24" t="s">
        <v>2</v>
      </c>
      <c r="F24">
        <v>10</v>
      </c>
      <c r="G24">
        <v>0.25</v>
      </c>
      <c r="H24">
        <v>0.11</v>
      </c>
      <c r="I24">
        <v>0.502</v>
      </c>
      <c r="J24">
        <v>0.51</v>
      </c>
      <c r="K24">
        <v>3.2676000000000003</v>
      </c>
      <c r="L24">
        <v>3.28</v>
      </c>
      <c r="M24">
        <f>K24-I24</f>
        <v>2.7656000000000001</v>
      </c>
      <c r="N24">
        <f>L24-J24</f>
        <v>2.7699999999999996</v>
      </c>
      <c r="O24">
        <f>AVERAGE(M24:N24)</f>
        <v>2.7677999999999998</v>
      </c>
      <c r="P24" s="1">
        <f>O24/4.2427*G24/H24</f>
        <v>1.4826536275142115</v>
      </c>
      <c r="Q24" s="1">
        <f>P24*342.3</f>
        <v>507.51233669811461</v>
      </c>
      <c r="R24" s="1">
        <f>Q24*0.42</f>
        <v>213.15518141320814</v>
      </c>
    </row>
    <row r="25" spans="1:18" ht="15.75" x14ac:dyDescent="0.25">
      <c r="A25" t="s">
        <v>17</v>
      </c>
      <c r="B25">
        <v>20230914</v>
      </c>
      <c r="C25" t="s">
        <v>16</v>
      </c>
      <c r="D25" t="s">
        <v>3</v>
      </c>
      <c r="E25" t="s">
        <v>2</v>
      </c>
      <c r="F25">
        <v>10</v>
      </c>
      <c r="G25">
        <v>0.25</v>
      </c>
      <c r="H25">
        <v>0.11</v>
      </c>
      <c r="I25">
        <v>0.621</v>
      </c>
      <c r="J25">
        <v>0.61299999999999999</v>
      </c>
      <c r="K25">
        <v>3.5632000000000006</v>
      </c>
      <c r="L25">
        <v>3.5585999999999998</v>
      </c>
      <c r="M25">
        <f>K25-I25</f>
        <v>2.9422000000000006</v>
      </c>
      <c r="N25">
        <f>L25-J25</f>
        <v>2.9455999999999998</v>
      </c>
      <c r="O25">
        <f>AVERAGE(M25:N25)</f>
        <v>2.9439000000000002</v>
      </c>
      <c r="P25" s="1">
        <f>O25/4.2427*G25/H25</f>
        <v>1.5769867815734833</v>
      </c>
      <c r="Q25" s="1">
        <f>P25*342.3</f>
        <v>539.80257533260328</v>
      </c>
      <c r="R25" s="1">
        <f>Q25*0.42</f>
        <v>226.71708163969336</v>
      </c>
    </row>
    <row r="26" spans="1:18" ht="15.75" x14ac:dyDescent="0.25">
      <c r="A26" t="s">
        <v>15</v>
      </c>
      <c r="B26">
        <v>20230914</v>
      </c>
      <c r="C26" t="s">
        <v>14</v>
      </c>
      <c r="D26" t="s">
        <v>3</v>
      </c>
      <c r="E26" t="s">
        <v>2</v>
      </c>
      <c r="F26">
        <v>10</v>
      </c>
      <c r="G26">
        <v>0.25</v>
      </c>
      <c r="H26">
        <v>0.11</v>
      </c>
      <c r="I26">
        <v>0.55600000000000005</v>
      </c>
      <c r="J26">
        <v>0.57599999999999996</v>
      </c>
      <c r="K26">
        <v>3.4744000000000002</v>
      </c>
      <c r="L26">
        <v>3.4908000000000001</v>
      </c>
      <c r="M26">
        <f>K26-I26</f>
        <v>2.9184000000000001</v>
      </c>
      <c r="N26">
        <f>L26-J26</f>
        <v>2.9148000000000001</v>
      </c>
      <c r="O26">
        <f>AVERAGE(M26:N26)</f>
        <v>2.9165999999999999</v>
      </c>
      <c r="P26" s="1">
        <f>O26/4.2427*G26/H26</f>
        <v>1.5623627321366966</v>
      </c>
      <c r="Q26" s="1">
        <f>P26*342.3</f>
        <v>534.7967632103913</v>
      </c>
      <c r="R26" s="1">
        <f>Q26*0.42</f>
        <v>224.61464054836435</v>
      </c>
    </row>
    <row r="27" spans="1:18" ht="15.75" x14ac:dyDescent="0.25">
      <c r="A27" t="s">
        <v>13</v>
      </c>
      <c r="B27">
        <v>20230914</v>
      </c>
      <c r="C27" t="s">
        <v>12</v>
      </c>
      <c r="D27" t="s">
        <v>3</v>
      </c>
      <c r="E27" t="s">
        <v>2</v>
      </c>
      <c r="F27">
        <v>10</v>
      </c>
      <c r="G27">
        <v>0.25</v>
      </c>
      <c r="H27">
        <v>0.11</v>
      </c>
      <c r="I27">
        <v>0.54600000000000004</v>
      </c>
      <c r="J27">
        <v>0.54900000000000004</v>
      </c>
      <c r="K27">
        <v>3.4863999999999997</v>
      </c>
      <c r="L27">
        <v>3.4778000000000007</v>
      </c>
      <c r="M27">
        <f>K27-I27</f>
        <v>2.9403999999999995</v>
      </c>
      <c r="N27">
        <f>L27-J27</f>
        <v>2.9288000000000007</v>
      </c>
      <c r="O27">
        <f>AVERAGE(M27:N27)</f>
        <v>2.9346000000000001</v>
      </c>
      <c r="P27" s="1">
        <f>O27/4.2427*G27/H27</f>
        <v>1.5720049625345782</v>
      </c>
      <c r="Q27" s="1">
        <f>P27*342.3</f>
        <v>538.0972986755861</v>
      </c>
      <c r="R27" s="1">
        <f>Q27*0.42</f>
        <v>226.00086544374616</v>
      </c>
    </row>
    <row r="28" spans="1:18" ht="15.75" x14ac:dyDescent="0.25">
      <c r="A28" t="s">
        <v>11</v>
      </c>
      <c r="B28">
        <v>20230914</v>
      </c>
      <c r="C28" t="s">
        <v>10</v>
      </c>
      <c r="D28" t="s">
        <v>3</v>
      </c>
      <c r="E28" t="s">
        <v>2</v>
      </c>
      <c r="F28">
        <v>10</v>
      </c>
      <c r="G28">
        <v>0.25</v>
      </c>
      <c r="H28">
        <v>0.11</v>
      </c>
      <c r="I28">
        <v>0.53300000000000003</v>
      </c>
      <c r="J28">
        <v>0.53800000000000003</v>
      </c>
      <c r="K28">
        <v>3.4788000000000006</v>
      </c>
      <c r="L28">
        <v>3.4878</v>
      </c>
      <c r="M28">
        <f>K28-I28</f>
        <v>2.9458000000000006</v>
      </c>
      <c r="N28">
        <f>L28-J28</f>
        <v>2.9497999999999998</v>
      </c>
      <c r="O28">
        <f>AVERAGE(M28:N28)</f>
        <v>2.9478</v>
      </c>
      <c r="P28" s="1">
        <f>O28/4.2427*G28/H28</f>
        <v>1.5790759314930243</v>
      </c>
      <c r="Q28" s="1">
        <f>P28*342.3</f>
        <v>540.51769135006225</v>
      </c>
      <c r="R28" s="1">
        <f>Q28*0.42</f>
        <v>227.01743036702615</v>
      </c>
    </row>
    <row r="29" spans="1:18" ht="15.75" x14ac:dyDescent="0.25">
      <c r="A29" t="s">
        <v>9</v>
      </c>
      <c r="B29">
        <v>20230914</v>
      </c>
      <c r="C29" t="s">
        <v>8</v>
      </c>
      <c r="D29" t="s">
        <v>3</v>
      </c>
      <c r="E29" t="s">
        <v>2</v>
      </c>
      <c r="F29">
        <v>10</v>
      </c>
      <c r="G29">
        <v>0.25</v>
      </c>
      <c r="H29">
        <v>0.11</v>
      </c>
      <c r="I29">
        <v>0.46100000000000002</v>
      </c>
      <c r="J29">
        <v>0.46600000000000003</v>
      </c>
      <c r="K29">
        <v>3.2454000000000001</v>
      </c>
      <c r="L29">
        <v>3.2594000000000003</v>
      </c>
      <c r="M29">
        <f>K29-I29</f>
        <v>2.7844000000000002</v>
      </c>
      <c r="N29">
        <f>L29-J29</f>
        <v>2.7934000000000001</v>
      </c>
      <c r="O29">
        <f>AVERAGE(M29:N29)</f>
        <v>2.7888999999999999</v>
      </c>
      <c r="P29" s="1">
        <f>O29/4.2427*G29/H29</f>
        <v>1.4939564642583945</v>
      </c>
      <c r="Q29" s="1">
        <f>P29*342.3</f>
        <v>511.38129771564843</v>
      </c>
      <c r="R29" s="1">
        <f>Q29*0.42</f>
        <v>214.78014504057234</v>
      </c>
    </row>
    <row r="30" spans="1:18" ht="15.75" x14ac:dyDescent="0.25">
      <c r="A30" t="s">
        <v>7</v>
      </c>
      <c r="B30">
        <v>20230914</v>
      </c>
      <c r="C30" t="s">
        <v>6</v>
      </c>
      <c r="D30" t="s">
        <v>3</v>
      </c>
      <c r="E30" t="s">
        <v>2</v>
      </c>
      <c r="F30">
        <v>10</v>
      </c>
      <c r="G30">
        <v>0.25</v>
      </c>
      <c r="H30">
        <v>0.11</v>
      </c>
      <c r="I30">
        <v>0.69399999999999995</v>
      </c>
      <c r="J30">
        <v>0.70299999999999996</v>
      </c>
      <c r="K30">
        <v>3.5289999999999999</v>
      </c>
      <c r="L30">
        <v>3.5407999999999999</v>
      </c>
      <c r="M30">
        <f>K30-I30</f>
        <v>2.835</v>
      </c>
      <c r="N30">
        <f>L30-J30</f>
        <v>2.8378000000000001</v>
      </c>
      <c r="O30">
        <f>AVERAGE(M30:N30)</f>
        <v>2.8364000000000003</v>
      </c>
      <c r="P30" s="1">
        <f>O30/4.2427*G30/H30</f>
        <v>1.5194012389194704</v>
      </c>
      <c r="Q30" s="1">
        <f>P30*342.3</f>
        <v>520.09104408213477</v>
      </c>
      <c r="R30" s="1">
        <f>Q30*0.42</f>
        <v>218.43823851449659</v>
      </c>
    </row>
    <row r="31" spans="1:18" ht="15.75" x14ac:dyDescent="0.25">
      <c r="A31" t="s">
        <v>5</v>
      </c>
      <c r="B31">
        <v>20230914</v>
      </c>
      <c r="C31" t="s">
        <v>4</v>
      </c>
      <c r="D31" t="s">
        <v>3</v>
      </c>
      <c r="E31" t="s">
        <v>2</v>
      </c>
      <c r="F31">
        <v>10</v>
      </c>
      <c r="G31">
        <v>0.25</v>
      </c>
      <c r="H31">
        <v>0.11</v>
      </c>
      <c r="I31">
        <v>0.622</v>
      </c>
      <c r="J31">
        <v>0.625</v>
      </c>
      <c r="K31">
        <v>3.5047999999999995</v>
      </c>
      <c r="L31">
        <v>3.5096000000000003</v>
      </c>
      <c r="M31">
        <f>K31-I31</f>
        <v>2.8827999999999996</v>
      </c>
      <c r="N31">
        <f>L31-J31</f>
        <v>2.8846000000000003</v>
      </c>
      <c r="O31">
        <f>AVERAGE(M31:N31)</f>
        <v>2.8837000000000002</v>
      </c>
      <c r="P31" s="1">
        <f>O31/4.2427*G31/H31</f>
        <v>1.5447388776872362</v>
      </c>
      <c r="Q31" s="1">
        <f>P31*342.3</f>
        <v>528.76411783234096</v>
      </c>
      <c r="R31" s="1">
        <f>Q31*0.42</f>
        <v>222.08092948958318</v>
      </c>
    </row>
    <row r="32" spans="1:18" ht="15.75" x14ac:dyDescent="0.25">
      <c r="B32">
        <v>20230531</v>
      </c>
      <c r="C32">
        <v>1</v>
      </c>
      <c r="D32" t="s">
        <v>1</v>
      </c>
      <c r="E32" t="s">
        <v>0</v>
      </c>
      <c r="F32">
        <v>10</v>
      </c>
      <c r="G32">
        <v>0.25</v>
      </c>
      <c r="H32">
        <v>0.11</v>
      </c>
      <c r="I32">
        <v>1.3260000000000001</v>
      </c>
      <c r="J32">
        <v>1.3480000000000001</v>
      </c>
      <c r="K32">
        <v>3.6966000000000001</v>
      </c>
      <c r="L32">
        <v>3.7044000000000006</v>
      </c>
      <c r="M32">
        <f>K32-I32</f>
        <v>2.3706</v>
      </c>
      <c r="N32">
        <f>L32-J32</f>
        <v>2.3564000000000007</v>
      </c>
      <c r="O32">
        <f>AVERAGE(M32:N32)</f>
        <v>2.3635000000000002</v>
      </c>
      <c r="P32" s="1">
        <f>O32/4.2427*G32/H32</f>
        <v>1.2660784191884671</v>
      </c>
      <c r="Q32" s="1">
        <f>P32*342.3</f>
        <v>433.37864288821231</v>
      </c>
      <c r="R32" s="1">
        <f>Q32*0.42</f>
        <v>182.01903001304916</v>
      </c>
    </row>
    <row r="33" spans="2:18" ht="15.75" x14ac:dyDescent="0.25">
      <c r="B33">
        <v>20230531</v>
      </c>
      <c r="C33">
        <v>2</v>
      </c>
      <c r="D33" t="s">
        <v>1</v>
      </c>
      <c r="E33" t="s">
        <v>0</v>
      </c>
      <c r="F33">
        <v>10</v>
      </c>
      <c r="G33">
        <v>0.25</v>
      </c>
      <c r="H33">
        <v>0.11</v>
      </c>
      <c r="I33">
        <v>0.95899999999999996</v>
      </c>
      <c r="J33">
        <v>0.94499999999999995</v>
      </c>
      <c r="K33">
        <v>3.6621999999999999</v>
      </c>
      <c r="L33">
        <v>3.65</v>
      </c>
      <c r="M33">
        <f>K33-I33</f>
        <v>2.7031999999999998</v>
      </c>
      <c r="N33">
        <f>L33-J33</f>
        <v>2.7050000000000001</v>
      </c>
      <c r="O33">
        <f>AVERAGE(M33:N33)</f>
        <v>2.7040999999999999</v>
      </c>
      <c r="P33" s="1">
        <f>O33/4.2427*G33/H33</f>
        <v>1.4485308454950427</v>
      </c>
      <c r="Q33" s="1">
        <f>P33*342.3</f>
        <v>495.83210841295312</v>
      </c>
      <c r="R33" s="1">
        <f>Q33*0.42</f>
        <v>208.24948553344029</v>
      </c>
    </row>
    <row r="34" spans="2:18" ht="15.75" x14ac:dyDescent="0.25">
      <c r="B34">
        <v>20230531</v>
      </c>
      <c r="C34">
        <v>3</v>
      </c>
      <c r="D34" t="s">
        <v>1</v>
      </c>
      <c r="E34" t="s">
        <v>0</v>
      </c>
      <c r="F34">
        <v>10</v>
      </c>
      <c r="G34">
        <v>0.25</v>
      </c>
      <c r="H34">
        <v>0.11</v>
      </c>
      <c r="I34">
        <v>0.66500000000000004</v>
      </c>
      <c r="J34">
        <v>0.66900000000000004</v>
      </c>
      <c r="K34">
        <v>3.5838000000000001</v>
      </c>
      <c r="L34">
        <v>3.5852000000000004</v>
      </c>
      <c r="M34">
        <f>K34-I34</f>
        <v>2.9188000000000001</v>
      </c>
      <c r="N34">
        <f>L34-J34</f>
        <v>2.9162000000000003</v>
      </c>
      <c r="O34">
        <f>AVERAGE(M34:N34)</f>
        <v>2.9175000000000004</v>
      </c>
      <c r="P34" s="1">
        <f>O34/4.2427*G34/H34</f>
        <v>1.5628448436565912</v>
      </c>
      <c r="Q34" s="1">
        <f>P34*342.3</f>
        <v>534.96178998365122</v>
      </c>
      <c r="R34" s="1">
        <f>Q34*0.42</f>
        <v>224.6839517931335</v>
      </c>
    </row>
    <row r="35" spans="2:18" ht="15.75" x14ac:dyDescent="0.25">
      <c r="B35">
        <v>20230531</v>
      </c>
      <c r="C35">
        <v>4</v>
      </c>
      <c r="D35" t="s">
        <v>1</v>
      </c>
      <c r="E35" t="s">
        <v>0</v>
      </c>
      <c r="F35">
        <v>10</v>
      </c>
      <c r="G35">
        <v>0.25</v>
      </c>
      <c r="H35">
        <v>0.11</v>
      </c>
      <c r="I35">
        <v>1.0329999999999999</v>
      </c>
      <c r="J35">
        <v>1.048</v>
      </c>
      <c r="K35">
        <v>3.6631999999999998</v>
      </c>
      <c r="L35">
        <v>3.6703999999999999</v>
      </c>
      <c r="M35">
        <f>K35-I35</f>
        <v>2.6301999999999999</v>
      </c>
      <c r="N35">
        <f>L35-J35</f>
        <v>2.6223999999999998</v>
      </c>
      <c r="O35">
        <f>AVERAGE(M35:N35)</f>
        <v>2.6262999999999996</v>
      </c>
      <c r="P35" s="1">
        <f>O35/4.2427*G35/H35</f>
        <v>1.4068549829975334</v>
      </c>
      <c r="Q35" s="1">
        <f>P35*342.3</f>
        <v>481.56646068005568</v>
      </c>
      <c r="R35" s="1">
        <f>Q35*0.42</f>
        <v>202.25791348562339</v>
      </c>
    </row>
    <row r="36" spans="2:18" ht="15.75" x14ac:dyDescent="0.25">
      <c r="B36">
        <v>20230531</v>
      </c>
      <c r="C36">
        <v>5</v>
      </c>
      <c r="D36" t="s">
        <v>1</v>
      </c>
      <c r="E36" t="s">
        <v>0</v>
      </c>
      <c r="F36">
        <v>10</v>
      </c>
      <c r="G36">
        <v>0.25</v>
      </c>
      <c r="H36">
        <v>0.11</v>
      </c>
      <c r="I36">
        <v>0.72599999999999998</v>
      </c>
      <c r="J36">
        <v>0.73599999999999999</v>
      </c>
      <c r="K36">
        <v>3.5756000000000001</v>
      </c>
      <c r="L36">
        <v>3.5769999999999995</v>
      </c>
      <c r="M36">
        <f>K36-I36</f>
        <v>2.8496000000000001</v>
      </c>
      <c r="N36">
        <f>L36-J36</f>
        <v>2.8409999999999993</v>
      </c>
      <c r="O36">
        <f>AVERAGE(M36:N36)</f>
        <v>2.8452999999999999</v>
      </c>
      <c r="P36" s="1">
        <f>O36/4.2427*G36/H36</f>
        <v>1.5241687861717559</v>
      </c>
      <c r="Q36" s="1">
        <f>P36*342.3</f>
        <v>521.72297550659209</v>
      </c>
      <c r="R36" s="1">
        <f>Q36*0.42</f>
        <v>219.12364971276867</v>
      </c>
    </row>
    <row r="37" spans="2:18" ht="15.75" x14ac:dyDescent="0.25">
      <c r="B37">
        <v>20230720</v>
      </c>
      <c r="C37">
        <v>1</v>
      </c>
      <c r="D37" t="s">
        <v>1</v>
      </c>
      <c r="E37" t="s">
        <v>0</v>
      </c>
      <c r="F37">
        <v>10</v>
      </c>
      <c r="G37">
        <v>0.25</v>
      </c>
      <c r="H37">
        <v>0.11</v>
      </c>
      <c r="I37">
        <v>1.1819999999999999</v>
      </c>
      <c r="J37">
        <v>1.2030000000000001</v>
      </c>
      <c r="K37">
        <v>3.6247999999999996</v>
      </c>
      <c r="L37">
        <v>3.6474000000000002</v>
      </c>
      <c r="M37">
        <f>K37-I37</f>
        <v>2.4427999999999996</v>
      </c>
      <c r="N37">
        <f>L37-J37</f>
        <v>2.4443999999999999</v>
      </c>
      <c r="O37">
        <f>AVERAGE(M37:N37)</f>
        <v>2.4436</v>
      </c>
      <c r="P37" s="1">
        <f>O37/4.2427*G37/H37</f>
        <v>1.3089863444590386</v>
      </c>
      <c r="Q37" s="1">
        <f>P37*342.3</f>
        <v>448.06602570832894</v>
      </c>
      <c r="R37" s="1">
        <f>Q37*0.42</f>
        <v>188.18773079749815</v>
      </c>
    </row>
    <row r="38" spans="2:18" ht="15.75" x14ac:dyDescent="0.25">
      <c r="B38">
        <v>20230720</v>
      </c>
      <c r="C38">
        <v>2</v>
      </c>
      <c r="D38" t="s">
        <v>1</v>
      </c>
      <c r="E38" t="s">
        <v>0</v>
      </c>
      <c r="F38">
        <v>10</v>
      </c>
      <c r="G38">
        <v>0.25</v>
      </c>
      <c r="H38">
        <v>0.11</v>
      </c>
      <c r="I38">
        <v>0.98499999999999999</v>
      </c>
      <c r="J38">
        <v>1.006</v>
      </c>
      <c r="K38">
        <v>3.6467999999999998</v>
      </c>
      <c r="L38">
        <v>3.6509999999999998</v>
      </c>
      <c r="M38">
        <f>K38-I38</f>
        <v>2.6617999999999999</v>
      </c>
      <c r="N38">
        <f>L38-J38</f>
        <v>2.6449999999999996</v>
      </c>
      <c r="O38">
        <f>AVERAGE(M38:N38)</f>
        <v>2.6533999999999995</v>
      </c>
      <c r="P38" s="1">
        <f>O38/4.2427*G38/H38</f>
        <v>1.4213718965410103</v>
      </c>
      <c r="Q38" s="1">
        <f>P38*342.3</f>
        <v>486.53560018598785</v>
      </c>
      <c r="R38" s="1">
        <f>Q38*0.42</f>
        <v>204.34495207811489</v>
      </c>
    </row>
    <row r="39" spans="2:18" ht="15.75" x14ac:dyDescent="0.25">
      <c r="B39">
        <v>20230720</v>
      </c>
      <c r="C39">
        <v>3</v>
      </c>
      <c r="D39" t="s">
        <v>1</v>
      </c>
      <c r="E39" t="s">
        <v>0</v>
      </c>
      <c r="F39">
        <v>10</v>
      </c>
      <c r="G39">
        <v>0.25</v>
      </c>
      <c r="H39">
        <v>0.11</v>
      </c>
      <c r="I39">
        <v>0.63</v>
      </c>
      <c r="J39">
        <v>0.64700000000000002</v>
      </c>
      <c r="K39">
        <v>3.5609999999999999</v>
      </c>
      <c r="L39">
        <v>3.5728</v>
      </c>
      <c r="M39">
        <f>K39-I39</f>
        <v>2.931</v>
      </c>
      <c r="N39">
        <f>L39-J39</f>
        <v>2.9257999999999997</v>
      </c>
      <c r="O39">
        <f>AVERAGE(M39:N39)</f>
        <v>2.9283999999999999</v>
      </c>
      <c r="P39" s="1">
        <f>O39/4.2427*G39/H39</f>
        <v>1.5686837498419743</v>
      </c>
      <c r="Q39" s="1">
        <f>P39*342.3</f>
        <v>536.96044757090783</v>
      </c>
      <c r="R39" s="1">
        <f>Q39*0.42</f>
        <v>225.52338797978129</v>
      </c>
    </row>
    <row r="40" spans="2:18" ht="15.75" x14ac:dyDescent="0.25">
      <c r="B40">
        <v>20230720</v>
      </c>
      <c r="C40">
        <v>4</v>
      </c>
      <c r="D40" t="s">
        <v>1</v>
      </c>
      <c r="E40" t="s">
        <v>0</v>
      </c>
      <c r="F40">
        <v>10</v>
      </c>
      <c r="G40">
        <v>0.25</v>
      </c>
      <c r="H40">
        <v>0.11</v>
      </c>
      <c r="I40">
        <v>0.71899999999999997</v>
      </c>
      <c r="J40">
        <v>0.71899999999999997</v>
      </c>
      <c r="K40">
        <v>3.5533999999999999</v>
      </c>
      <c r="L40">
        <v>3.5488</v>
      </c>
      <c r="M40">
        <f>K40-I40</f>
        <v>2.8344</v>
      </c>
      <c r="N40">
        <f>L40-J40</f>
        <v>2.8298000000000001</v>
      </c>
      <c r="O40">
        <f>AVERAGE(M40:N40)</f>
        <v>2.8321000000000001</v>
      </c>
      <c r="P40" s="1">
        <f>O40/4.2427*G40/H40</f>
        <v>1.5170978172133098</v>
      </c>
      <c r="Q40" s="1">
        <f>P40*342.3</f>
        <v>519.30258283211595</v>
      </c>
      <c r="R40" s="1">
        <f>Q40*0.42</f>
        <v>218.10708478948868</v>
      </c>
    </row>
    <row r="41" spans="2:18" ht="15.75" x14ac:dyDescent="0.25">
      <c r="B41">
        <v>20230720</v>
      </c>
      <c r="C41">
        <v>5</v>
      </c>
      <c r="D41" t="s">
        <v>1</v>
      </c>
      <c r="E41" t="s">
        <v>0</v>
      </c>
      <c r="F41">
        <v>10</v>
      </c>
      <c r="G41">
        <v>0.25</v>
      </c>
      <c r="H41">
        <v>0.11</v>
      </c>
      <c r="I41">
        <v>0.86799999999999999</v>
      </c>
      <c r="J41">
        <v>0.88700000000000001</v>
      </c>
      <c r="K41">
        <v>3.6012</v>
      </c>
      <c r="L41">
        <v>3.6362000000000001</v>
      </c>
      <c r="M41">
        <f>K41-I41</f>
        <v>2.7332000000000001</v>
      </c>
      <c r="N41">
        <f>L41-J41</f>
        <v>2.7492000000000001</v>
      </c>
      <c r="O41">
        <f>AVERAGE(M41:N41)</f>
        <v>2.7412000000000001</v>
      </c>
      <c r="P41" s="1">
        <f>O41/4.2427*G41/H41</f>
        <v>1.4684045537040094</v>
      </c>
      <c r="Q41" s="1">
        <f>P41*342.3</f>
        <v>502.63487873288244</v>
      </c>
      <c r="R41" s="1">
        <f>Q41*0.42</f>
        <v>211.10664906781062</v>
      </c>
    </row>
    <row r="42" spans="2:18" ht="15.75" x14ac:dyDescent="0.25">
      <c r="B42">
        <v>20230926</v>
      </c>
      <c r="C42">
        <v>1</v>
      </c>
      <c r="D42" t="s">
        <v>1</v>
      </c>
      <c r="E42" t="s">
        <v>0</v>
      </c>
      <c r="F42">
        <v>10</v>
      </c>
      <c r="G42">
        <v>0.25</v>
      </c>
      <c r="H42">
        <v>0.11</v>
      </c>
      <c r="I42">
        <v>0.8</v>
      </c>
      <c r="J42">
        <v>0.82599999999999996</v>
      </c>
      <c r="K42">
        <v>2.4672000000000005</v>
      </c>
      <c r="L42">
        <v>2.4970000000000003</v>
      </c>
      <c r="M42">
        <f>K42-I42</f>
        <v>1.6672000000000005</v>
      </c>
      <c r="N42">
        <f>L42-J42</f>
        <v>1.6710000000000003</v>
      </c>
      <c r="O42">
        <f>AVERAGE(M42:N42)</f>
        <v>1.6691000000000003</v>
      </c>
      <c r="P42" s="1">
        <f>O42/4.2427*G42/H42</f>
        <v>0.89410259761686928</v>
      </c>
      <c r="Q42" s="1">
        <f>P42*342.3</f>
        <v>306.05131916425438</v>
      </c>
      <c r="R42" s="1">
        <f>Q42*0.42</f>
        <v>128.54155404898682</v>
      </c>
    </row>
    <row r="43" spans="2:18" ht="15.75" x14ac:dyDescent="0.25">
      <c r="B43">
        <v>20230926</v>
      </c>
      <c r="C43">
        <v>2</v>
      </c>
      <c r="D43" t="s">
        <v>1</v>
      </c>
      <c r="E43" t="s">
        <v>0</v>
      </c>
      <c r="F43">
        <v>10</v>
      </c>
      <c r="G43">
        <v>0.25</v>
      </c>
      <c r="H43">
        <v>0.11</v>
      </c>
      <c r="I43">
        <v>0.52500000000000002</v>
      </c>
      <c r="J43">
        <v>0.52700000000000002</v>
      </c>
      <c r="K43">
        <v>2.0720000000000001</v>
      </c>
      <c r="L43">
        <v>2.0798000000000001</v>
      </c>
      <c r="M43">
        <f>K43-I43</f>
        <v>1.5470000000000002</v>
      </c>
      <c r="N43">
        <f>L43-J43</f>
        <v>1.5528</v>
      </c>
      <c r="O43">
        <f>AVERAGE(M43:N43)</f>
        <v>1.5499000000000001</v>
      </c>
      <c r="P43" s="1">
        <f>O43/4.2427*G43/H43</f>
        <v>0.83024960520423319</v>
      </c>
      <c r="Q43" s="1">
        <f>P43*342.3</f>
        <v>284.19443986140902</v>
      </c>
      <c r="R43" s="1">
        <f>Q43*0.42</f>
        <v>119.36166474179178</v>
      </c>
    </row>
    <row r="44" spans="2:18" ht="15.75" x14ac:dyDescent="0.25">
      <c r="B44">
        <v>20230926</v>
      </c>
      <c r="C44">
        <v>3</v>
      </c>
      <c r="D44" t="s">
        <v>1</v>
      </c>
      <c r="E44" t="s">
        <v>0</v>
      </c>
      <c r="F44">
        <v>10</v>
      </c>
      <c r="G44">
        <v>0.25</v>
      </c>
      <c r="H44">
        <v>0.11</v>
      </c>
      <c r="I44">
        <v>0.52600000000000002</v>
      </c>
      <c r="J44">
        <v>0.52300000000000002</v>
      </c>
      <c r="K44">
        <v>2.6476000000000002</v>
      </c>
      <c r="L44">
        <v>2.6417999999999999</v>
      </c>
      <c r="M44">
        <f>K44-I44</f>
        <v>2.1215999999999999</v>
      </c>
      <c r="N44">
        <f>L44-J44</f>
        <v>2.1187999999999998</v>
      </c>
      <c r="O44">
        <f>AVERAGE(M44:N44)</f>
        <v>2.1201999999999996</v>
      </c>
      <c r="P44" s="1">
        <f>O44/4.2427*G44/H44</f>
        <v>1.1357476049771049</v>
      </c>
      <c r="Q44" s="1">
        <f>P44*342.3</f>
        <v>388.76640518366304</v>
      </c>
      <c r="R44" s="1">
        <f>Q44*0.42</f>
        <v>163.28189017713848</v>
      </c>
    </row>
    <row r="45" spans="2:18" ht="15.75" x14ac:dyDescent="0.25">
      <c r="B45">
        <v>20230926</v>
      </c>
      <c r="C45">
        <v>4</v>
      </c>
      <c r="D45" t="s">
        <v>1</v>
      </c>
      <c r="E45" t="s">
        <v>0</v>
      </c>
      <c r="F45">
        <v>10</v>
      </c>
      <c r="G45">
        <v>0.25</v>
      </c>
      <c r="H45">
        <v>0.11</v>
      </c>
      <c r="I45">
        <v>0.60799999999999998</v>
      </c>
      <c r="J45">
        <v>0.61</v>
      </c>
      <c r="K45">
        <v>2.7227999999999999</v>
      </c>
      <c r="L45">
        <v>2.7589999999999999</v>
      </c>
      <c r="M45">
        <f>K45-I45</f>
        <v>2.1147999999999998</v>
      </c>
      <c r="N45">
        <f>L45-J45</f>
        <v>2.149</v>
      </c>
      <c r="O45">
        <f>AVERAGE(M45:N45)</f>
        <v>2.1318999999999999</v>
      </c>
      <c r="P45" s="1">
        <f>O45/4.2427*G45/H45</f>
        <v>1.1420150547357277</v>
      </c>
      <c r="Q45" s="1">
        <f>P45*342.3</f>
        <v>390.9117532360396</v>
      </c>
      <c r="R45" s="1">
        <f>Q45*0.42</f>
        <v>164.18293635913662</v>
      </c>
    </row>
    <row r="46" spans="2:18" ht="15.75" x14ac:dyDescent="0.25">
      <c r="B46">
        <v>20230926</v>
      </c>
      <c r="C46">
        <v>5</v>
      </c>
      <c r="D46" t="s">
        <v>1</v>
      </c>
      <c r="E46" t="s">
        <v>0</v>
      </c>
      <c r="F46">
        <v>10</v>
      </c>
      <c r="G46">
        <v>0.25</v>
      </c>
      <c r="H46">
        <v>0.11</v>
      </c>
      <c r="I46">
        <v>0.69399999999999995</v>
      </c>
      <c r="J46">
        <v>0.68</v>
      </c>
      <c r="K46">
        <v>3.1937999999999995</v>
      </c>
      <c r="L46">
        <v>3.0892000000000004</v>
      </c>
      <c r="M46">
        <f>K46-I46</f>
        <v>2.4997999999999996</v>
      </c>
      <c r="N46">
        <f>L46-J46</f>
        <v>2.4092000000000002</v>
      </c>
      <c r="O46">
        <f>AVERAGE(M46:N46)</f>
        <v>2.4544999999999999</v>
      </c>
      <c r="P46" s="1">
        <f>O46/4.2427*G46/H46</f>
        <v>1.3148252506444225</v>
      </c>
      <c r="Q46" s="1">
        <f>P46*342.3</f>
        <v>450.06468329558584</v>
      </c>
      <c r="R46" s="1">
        <f>Q46*0.42</f>
        <v>189.02716698414605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tabSelected="1" workbookViewId="0">
      <selection activeCell="T17" sqref="T17"/>
    </sheetView>
  </sheetViews>
  <sheetFormatPr defaultRowHeight="15" x14ac:dyDescent="0.25"/>
  <cols>
    <col min="1" max="1" width="13.140625" bestFit="1" customWidth="1"/>
    <col min="4" max="5" width="10.7109375" customWidth="1"/>
    <col min="6" max="6" width="12.140625" customWidth="1"/>
  </cols>
  <sheetData>
    <row r="1" spans="1:24" ht="15.75" x14ac:dyDescent="0.25">
      <c r="A1" s="3" t="s">
        <v>80</v>
      </c>
      <c r="B1" s="3" t="s">
        <v>97</v>
      </c>
      <c r="C1" s="4" t="s">
        <v>79</v>
      </c>
      <c r="D1" s="4" t="s">
        <v>96</v>
      </c>
      <c r="E1" s="4" t="s">
        <v>95</v>
      </c>
      <c r="F1" s="3" t="s">
        <v>94</v>
      </c>
      <c r="G1" s="3" t="s">
        <v>77</v>
      </c>
      <c r="H1" s="4" t="s">
        <v>76</v>
      </c>
      <c r="I1" s="4" t="s">
        <v>75</v>
      </c>
      <c r="J1" s="4" t="s">
        <v>74</v>
      </c>
      <c r="K1" s="4" t="s">
        <v>73</v>
      </c>
      <c r="L1" s="4" t="s">
        <v>72</v>
      </c>
      <c r="M1" s="4" t="s">
        <v>71</v>
      </c>
      <c r="N1" s="4" t="s">
        <v>70</v>
      </c>
      <c r="O1" s="4" t="s">
        <v>69</v>
      </c>
      <c r="P1" s="4" t="s">
        <v>68</v>
      </c>
      <c r="Q1" s="4" t="s">
        <v>67</v>
      </c>
      <c r="R1" s="4" t="s">
        <v>66</v>
      </c>
      <c r="S1" s="4" t="s">
        <v>93</v>
      </c>
      <c r="T1" s="3" t="s">
        <v>92</v>
      </c>
      <c r="U1" s="3"/>
      <c r="V1" s="3"/>
      <c r="W1" s="3"/>
    </row>
    <row r="2" spans="1:24" ht="15.75" x14ac:dyDescent="0.25">
      <c r="A2" s="7">
        <v>20230823</v>
      </c>
      <c r="B2" s="1" t="s">
        <v>85</v>
      </c>
      <c r="C2" s="1">
        <v>1</v>
      </c>
      <c r="D2" s="1" t="s">
        <v>1</v>
      </c>
      <c r="E2" s="1" t="s">
        <v>91</v>
      </c>
      <c r="G2" s="1" t="s">
        <v>82</v>
      </c>
      <c r="H2">
        <v>10</v>
      </c>
      <c r="I2">
        <v>0.25</v>
      </c>
      <c r="J2">
        <v>0.11</v>
      </c>
      <c r="K2">
        <v>1.625</v>
      </c>
      <c r="L2">
        <v>1.6819999999999999</v>
      </c>
      <c r="M2">
        <v>3.8248000000000006</v>
      </c>
      <c r="N2">
        <v>3.8365999999999998</v>
      </c>
      <c r="O2">
        <f>M2-K2</f>
        <v>2.1998000000000006</v>
      </c>
      <c r="P2">
        <f>N2-L2</f>
        <v>2.1545999999999998</v>
      </c>
      <c r="Q2">
        <f>AVERAGE(O2:P2)</f>
        <v>2.1772</v>
      </c>
      <c r="R2" s="1">
        <f>Q2/4.2427*I2/J2</f>
        <v>1.1662813345703957</v>
      </c>
      <c r="S2" s="1">
        <f>R2*342.3</f>
        <v>399.21810082344649</v>
      </c>
      <c r="T2" s="1">
        <f>S2*0.42</f>
        <v>167.67160234584753</v>
      </c>
      <c r="V2" s="1"/>
      <c r="W2" s="1"/>
      <c r="X2" s="1"/>
    </row>
    <row r="3" spans="1:24" ht="15.75" x14ac:dyDescent="0.25">
      <c r="A3" s="7">
        <v>20230822</v>
      </c>
      <c r="B3" s="1" t="s">
        <v>85</v>
      </c>
      <c r="C3" s="1">
        <v>2</v>
      </c>
      <c r="D3" s="1" t="s">
        <v>1</v>
      </c>
      <c r="E3" s="1" t="s">
        <v>91</v>
      </c>
      <c r="G3" s="1" t="s">
        <v>82</v>
      </c>
      <c r="H3">
        <v>10</v>
      </c>
      <c r="I3">
        <v>0.25</v>
      </c>
      <c r="J3">
        <v>0.11</v>
      </c>
      <c r="K3">
        <v>1.206</v>
      </c>
      <c r="L3">
        <v>1.2230000000000001</v>
      </c>
      <c r="M3">
        <v>3.7961999999999998</v>
      </c>
      <c r="N3">
        <v>3.8082000000000003</v>
      </c>
      <c r="O3">
        <f>M3-K3</f>
        <v>2.5901999999999998</v>
      </c>
      <c r="P3">
        <f>N3-L3</f>
        <v>2.5852000000000004</v>
      </c>
      <c r="Q3">
        <f>AVERAGE(O3:P3)</f>
        <v>2.5876999999999999</v>
      </c>
      <c r="R3" s="1">
        <f>Q3/4.2427*I3/J3</f>
        <v>1.3861777555887436</v>
      </c>
      <c r="S3" s="1">
        <f>R3*342.3</f>
        <v>474.48864573802695</v>
      </c>
      <c r="T3" s="1">
        <f>S3*0.42</f>
        <v>199.2852312099713</v>
      </c>
      <c r="V3" s="1"/>
      <c r="W3" s="1"/>
      <c r="X3" s="1"/>
    </row>
    <row r="4" spans="1:24" ht="15.75" x14ac:dyDescent="0.25">
      <c r="A4" s="7">
        <v>20230823</v>
      </c>
      <c r="B4" s="1" t="s">
        <v>85</v>
      </c>
      <c r="C4" s="1">
        <v>3</v>
      </c>
      <c r="D4" s="1" t="s">
        <v>1</v>
      </c>
      <c r="E4" s="1" t="s">
        <v>88</v>
      </c>
      <c r="G4" s="1" t="s">
        <v>82</v>
      </c>
      <c r="H4">
        <v>10</v>
      </c>
      <c r="I4">
        <v>0.25</v>
      </c>
      <c r="J4">
        <v>0.11</v>
      </c>
      <c r="K4">
        <v>1.357</v>
      </c>
      <c r="L4">
        <v>1.391</v>
      </c>
      <c r="M4">
        <v>3.7421999999999995</v>
      </c>
      <c r="N4">
        <v>3.7096000000000005</v>
      </c>
      <c r="O4">
        <f>M4-K4</f>
        <v>2.3851999999999993</v>
      </c>
      <c r="P4">
        <f>N4-L4</f>
        <v>2.3186000000000004</v>
      </c>
      <c r="Q4">
        <f>AVERAGE(O4:P4)</f>
        <v>2.3518999999999997</v>
      </c>
      <c r="R4" s="1">
        <f>Q4/4.2427*I4/J4</f>
        <v>1.2598645373764987</v>
      </c>
      <c r="S4" s="1">
        <f>R4*342.3</f>
        <v>431.25163114397554</v>
      </c>
      <c r="T4" s="1">
        <f>S4*0.42</f>
        <v>181.12568508046971</v>
      </c>
      <c r="V4" s="1"/>
      <c r="W4" s="1"/>
      <c r="X4" s="1"/>
    </row>
    <row r="5" spans="1:24" ht="15.75" x14ac:dyDescent="0.25">
      <c r="A5" s="7">
        <v>20230823</v>
      </c>
      <c r="B5" s="1" t="s">
        <v>85</v>
      </c>
      <c r="C5" s="1">
        <v>1</v>
      </c>
      <c r="D5" s="1" t="s">
        <v>3</v>
      </c>
      <c r="E5" s="1" t="s">
        <v>88</v>
      </c>
      <c r="F5" t="s">
        <v>89</v>
      </c>
      <c r="G5" s="1" t="s">
        <v>82</v>
      </c>
      <c r="H5">
        <v>10</v>
      </c>
      <c r="I5">
        <v>0.25</v>
      </c>
      <c r="J5">
        <v>0.11</v>
      </c>
      <c r="K5">
        <v>0.86399999999999999</v>
      </c>
      <c r="L5">
        <v>0.873</v>
      </c>
      <c r="M5">
        <v>3.6309999999999993</v>
      </c>
      <c r="N5">
        <v>3.6280000000000001</v>
      </c>
      <c r="O5">
        <f>M5-K5</f>
        <v>2.7669999999999995</v>
      </c>
      <c r="P5">
        <f>N5-L5</f>
        <v>2.7549999999999999</v>
      </c>
      <c r="Q5">
        <f>AVERAGE(O5:P5)</f>
        <v>2.7609999999999997</v>
      </c>
      <c r="R5" s="1">
        <f>Q5/4.2427*I5/J5</f>
        <v>1.4790110071416784</v>
      </c>
      <c r="S5" s="1">
        <f>R5*342.3</f>
        <v>506.26546774459655</v>
      </c>
      <c r="T5" s="1">
        <f>S5*0.42</f>
        <v>212.63149645273054</v>
      </c>
      <c r="V5" s="1"/>
      <c r="W5" s="1"/>
      <c r="X5" s="1"/>
    </row>
    <row r="6" spans="1:24" ht="15.75" x14ac:dyDescent="0.25">
      <c r="A6" s="7">
        <v>20230823</v>
      </c>
      <c r="B6" s="1" t="s">
        <v>85</v>
      </c>
      <c r="C6" s="1">
        <v>1</v>
      </c>
      <c r="D6" s="1" t="s">
        <v>3</v>
      </c>
      <c r="E6" s="1" t="s">
        <v>86</v>
      </c>
      <c r="F6" t="s">
        <v>89</v>
      </c>
      <c r="G6" s="1" t="s">
        <v>82</v>
      </c>
      <c r="H6">
        <v>10</v>
      </c>
      <c r="I6">
        <v>0.25</v>
      </c>
      <c r="J6">
        <v>0.11</v>
      </c>
      <c r="K6">
        <v>0.84099999999999997</v>
      </c>
      <c r="L6">
        <v>0.83299999999999996</v>
      </c>
      <c r="M6">
        <v>3.4942000000000002</v>
      </c>
      <c r="N6">
        <v>3.4776000000000002</v>
      </c>
      <c r="O6">
        <f>M6-K6</f>
        <v>2.6532</v>
      </c>
      <c r="P6">
        <f>N6-L6</f>
        <v>2.6446000000000005</v>
      </c>
      <c r="Q6">
        <f>AVERAGE(O6:P6)</f>
        <v>2.6489000000000003</v>
      </c>
      <c r="R6" s="1">
        <f>Q6/4.2427*I6/J6</f>
        <v>1.4189613389415403</v>
      </c>
      <c r="S6" s="1">
        <f>R6*342.3</f>
        <v>485.71046631968926</v>
      </c>
      <c r="T6" s="1">
        <f>S6*0.42</f>
        <v>203.99839585426949</v>
      </c>
      <c r="V6" s="1"/>
      <c r="W6" s="1"/>
      <c r="X6" s="1"/>
    </row>
    <row r="7" spans="1:24" ht="15.75" x14ac:dyDescent="0.25">
      <c r="A7" s="7">
        <v>20230823</v>
      </c>
      <c r="B7" s="1" t="s">
        <v>85</v>
      </c>
      <c r="C7" s="1">
        <v>1</v>
      </c>
      <c r="D7" s="1" t="s">
        <v>3</v>
      </c>
      <c r="E7" s="1" t="s">
        <v>88</v>
      </c>
      <c r="F7" t="s">
        <v>83</v>
      </c>
      <c r="G7" s="1" t="s">
        <v>82</v>
      </c>
      <c r="H7">
        <v>10</v>
      </c>
      <c r="I7">
        <v>0.25</v>
      </c>
      <c r="J7">
        <v>0.11</v>
      </c>
      <c r="K7">
        <v>0.47899999999999998</v>
      </c>
      <c r="L7">
        <v>0.47899999999999998</v>
      </c>
      <c r="M7">
        <v>2.7174</v>
      </c>
      <c r="N7">
        <v>2.7843999999999998</v>
      </c>
      <c r="O7">
        <f>M7-K7</f>
        <v>2.2383999999999999</v>
      </c>
      <c r="P7">
        <f>N7-L7</f>
        <v>2.3053999999999997</v>
      </c>
      <c r="Q7">
        <f>AVERAGE(O7:P7)</f>
        <v>2.2718999999999996</v>
      </c>
      <c r="R7" s="1">
        <f>Q7/4.2427*I7/J7</f>
        <v>1.2170101800525821</v>
      </c>
      <c r="S7" s="1">
        <f>R7*342.3</f>
        <v>416.58258463199888</v>
      </c>
      <c r="T7" s="1">
        <f>S7*0.42</f>
        <v>174.96468554543952</v>
      </c>
      <c r="V7" s="1"/>
      <c r="W7" s="1"/>
      <c r="X7" s="1"/>
    </row>
    <row r="8" spans="1:24" ht="15.75" x14ac:dyDescent="0.25">
      <c r="A8" s="7">
        <v>20230823</v>
      </c>
      <c r="B8" s="1" t="s">
        <v>85</v>
      </c>
      <c r="C8" s="1">
        <v>1</v>
      </c>
      <c r="D8" s="1" t="s">
        <v>3</v>
      </c>
      <c r="E8" s="1" t="s">
        <v>91</v>
      </c>
      <c r="F8" t="s">
        <v>90</v>
      </c>
      <c r="G8" s="1" t="s">
        <v>82</v>
      </c>
      <c r="H8">
        <v>10</v>
      </c>
      <c r="I8">
        <v>0.25</v>
      </c>
      <c r="J8">
        <v>0.11</v>
      </c>
      <c r="K8">
        <v>0.374</v>
      </c>
      <c r="L8">
        <v>0.375</v>
      </c>
      <c r="M8">
        <v>1.796</v>
      </c>
      <c r="N8">
        <v>1.8317999999999999</v>
      </c>
      <c r="O8">
        <f>M8-K8</f>
        <v>1.4220000000000002</v>
      </c>
      <c r="P8">
        <f>N8-L8</f>
        <v>1.4567999999999999</v>
      </c>
      <c r="Q8">
        <f>AVERAGE(O8:P8)</f>
        <v>1.4394</v>
      </c>
      <c r="R8" s="1">
        <f>Q8/4.2427*I8/J8</f>
        <v>0.77105702415057309</v>
      </c>
      <c r="S8" s="1">
        <f>R8*342.3</f>
        <v>263.93281936674117</v>
      </c>
      <c r="T8" s="1">
        <f>S8*0.42</f>
        <v>110.85178413403129</v>
      </c>
      <c r="V8" s="1"/>
      <c r="W8" s="1"/>
      <c r="X8" s="1"/>
    </row>
    <row r="9" spans="1:24" ht="15.75" x14ac:dyDescent="0.25">
      <c r="A9" s="7">
        <v>20230822</v>
      </c>
      <c r="B9" s="1" t="s">
        <v>85</v>
      </c>
      <c r="C9" s="1">
        <v>2</v>
      </c>
      <c r="D9" s="1" t="s">
        <v>3</v>
      </c>
      <c r="E9" s="1" t="s">
        <v>88</v>
      </c>
      <c r="F9" t="s">
        <v>89</v>
      </c>
      <c r="G9" s="1" t="s">
        <v>82</v>
      </c>
      <c r="H9">
        <v>10</v>
      </c>
      <c r="I9">
        <v>0.25</v>
      </c>
      <c r="J9">
        <v>0.11</v>
      </c>
      <c r="K9">
        <v>0.46400000000000002</v>
      </c>
      <c r="L9">
        <v>0.46600000000000003</v>
      </c>
      <c r="M9">
        <v>3.1674000000000002</v>
      </c>
      <c r="N9">
        <v>3.2016</v>
      </c>
      <c r="O9">
        <f>M9-K9</f>
        <v>2.7034000000000002</v>
      </c>
      <c r="P9">
        <f>N9-L9</f>
        <v>2.7355999999999998</v>
      </c>
      <c r="Q9">
        <f>AVERAGE(O9:P9)</f>
        <v>2.7195</v>
      </c>
      <c r="R9" s="1">
        <f>Q9/4.2427*I9/J9</f>
        <v>1.4567803092798968</v>
      </c>
      <c r="S9" s="1">
        <f>R9*342.3</f>
        <v>498.65589986650866</v>
      </c>
      <c r="T9" s="1">
        <f>S9*0.42</f>
        <v>209.43547794393362</v>
      </c>
      <c r="V9" s="1"/>
      <c r="W9" s="1"/>
      <c r="X9" s="1"/>
    </row>
    <row r="10" spans="1:24" ht="15.75" x14ac:dyDescent="0.25">
      <c r="A10" s="7">
        <v>20230822</v>
      </c>
      <c r="B10" s="1" t="s">
        <v>85</v>
      </c>
      <c r="C10" s="1">
        <v>2</v>
      </c>
      <c r="D10" s="1" t="s">
        <v>3</v>
      </c>
      <c r="E10" s="1" t="s">
        <v>88</v>
      </c>
      <c r="F10" t="s">
        <v>83</v>
      </c>
      <c r="G10" s="1" t="s">
        <v>82</v>
      </c>
      <c r="H10">
        <v>10</v>
      </c>
      <c r="I10">
        <v>0.25</v>
      </c>
      <c r="J10">
        <v>0.11</v>
      </c>
      <c r="K10">
        <v>0.59299999999999997</v>
      </c>
      <c r="L10">
        <v>0.59799999999999998</v>
      </c>
      <c r="M10">
        <v>3.5805999999999996</v>
      </c>
      <c r="N10">
        <v>3.6154000000000002</v>
      </c>
      <c r="O10">
        <f>M10-K10</f>
        <v>2.9875999999999996</v>
      </c>
      <c r="P10">
        <f>N10-L10</f>
        <v>3.0174000000000003</v>
      </c>
      <c r="Q10">
        <f>AVERAGE(O10:P10)</f>
        <v>3.0024999999999999</v>
      </c>
      <c r="R10" s="1">
        <f>Q10/4.2427*I10/J10</f>
        <v>1.6083775983132524</v>
      </c>
      <c r="S10" s="1">
        <f>R10*342.3</f>
        <v>550.54765190262628</v>
      </c>
      <c r="T10" s="1">
        <f>S10*0.42</f>
        <v>231.23001379910303</v>
      </c>
      <c r="V10" s="1"/>
      <c r="W10" s="1"/>
      <c r="X10" s="1"/>
    </row>
    <row r="11" spans="1:24" ht="15.75" x14ac:dyDescent="0.25">
      <c r="A11" s="7">
        <v>20230822</v>
      </c>
      <c r="B11" s="1" t="s">
        <v>85</v>
      </c>
      <c r="C11" s="1">
        <v>2</v>
      </c>
      <c r="D11" s="1" t="s">
        <v>3</v>
      </c>
      <c r="E11" s="1" t="s">
        <v>84</v>
      </c>
      <c r="F11" t="s">
        <v>87</v>
      </c>
      <c r="G11" s="1" t="s">
        <v>82</v>
      </c>
      <c r="H11">
        <v>10</v>
      </c>
      <c r="I11">
        <v>0.25</v>
      </c>
      <c r="J11">
        <v>0.11</v>
      </c>
      <c r="K11">
        <v>0.42599999999999999</v>
      </c>
      <c r="L11">
        <v>0.438</v>
      </c>
      <c r="M11">
        <v>2.4346000000000005</v>
      </c>
      <c r="N11">
        <v>2.5661999999999998</v>
      </c>
      <c r="O11">
        <f>M11-K11</f>
        <v>2.0086000000000004</v>
      </c>
      <c r="P11">
        <f>N11-L11</f>
        <v>2.1281999999999996</v>
      </c>
      <c r="Q11">
        <f>AVERAGE(O11:P11)</f>
        <v>2.0684</v>
      </c>
      <c r="R11" s="1">
        <f>Q11/4.2427*I11/J11</f>
        <v>1.107999408609869</v>
      </c>
      <c r="S11" s="1">
        <f>R11*342.3</f>
        <v>379.26819756715815</v>
      </c>
      <c r="T11" s="1">
        <f>S11*0.42</f>
        <v>159.29264297820643</v>
      </c>
      <c r="V11" s="1"/>
      <c r="W11" s="1"/>
      <c r="X11" s="1"/>
    </row>
    <row r="12" spans="1:24" ht="15.75" x14ac:dyDescent="0.25">
      <c r="A12" s="7">
        <v>20230822</v>
      </c>
      <c r="B12" s="1" t="s">
        <v>85</v>
      </c>
      <c r="C12" s="1">
        <v>2</v>
      </c>
      <c r="D12" s="1" t="s">
        <v>3</v>
      </c>
      <c r="E12" s="1" t="s">
        <v>86</v>
      </c>
      <c r="F12" t="s">
        <v>83</v>
      </c>
      <c r="G12" s="1" t="s">
        <v>82</v>
      </c>
      <c r="H12">
        <v>10</v>
      </c>
      <c r="I12">
        <v>0.25</v>
      </c>
      <c r="J12">
        <v>0.11</v>
      </c>
      <c r="K12">
        <v>0.371</v>
      </c>
      <c r="L12">
        <v>0.376</v>
      </c>
      <c r="M12">
        <v>2.7595999999999998</v>
      </c>
      <c r="N12">
        <v>2.7988</v>
      </c>
      <c r="O12">
        <f>M12-K12</f>
        <v>2.3885999999999998</v>
      </c>
      <c r="P12">
        <f>N12-L12</f>
        <v>2.4228000000000001</v>
      </c>
      <c r="Q12">
        <f>AVERAGE(O12:P12)</f>
        <v>2.4056999999999999</v>
      </c>
      <c r="R12" s="1">
        <f>Q12/4.2427*I12/J12</f>
        <v>1.2886840926768333</v>
      </c>
      <c r="S12" s="1">
        <f>R12*342.3</f>
        <v>441.11656492328007</v>
      </c>
      <c r="T12" s="1">
        <f>S12*0.42</f>
        <v>185.26895726777761</v>
      </c>
      <c r="V12" s="1"/>
      <c r="W12" s="1"/>
      <c r="X12" s="1"/>
    </row>
    <row r="13" spans="1:24" ht="15.75" x14ac:dyDescent="0.25">
      <c r="A13" s="7">
        <v>20230823</v>
      </c>
      <c r="B13" s="1" t="s">
        <v>85</v>
      </c>
      <c r="C13" s="1">
        <v>3</v>
      </c>
      <c r="D13" s="1" t="s">
        <v>3</v>
      </c>
      <c r="E13" s="1" t="s">
        <v>86</v>
      </c>
      <c r="F13" t="s">
        <v>83</v>
      </c>
      <c r="G13" s="1" t="s">
        <v>82</v>
      </c>
      <c r="H13">
        <v>10</v>
      </c>
      <c r="I13">
        <v>0.25</v>
      </c>
      <c r="J13">
        <v>0.11</v>
      </c>
      <c r="K13">
        <v>0.51400000000000001</v>
      </c>
      <c r="L13">
        <v>0.52</v>
      </c>
      <c r="M13">
        <v>2.7857999999999996</v>
      </c>
      <c r="N13">
        <v>2.8122000000000003</v>
      </c>
      <c r="O13">
        <f>M13-K13</f>
        <v>2.2717999999999998</v>
      </c>
      <c r="P13">
        <f>N13-L13</f>
        <v>2.2922000000000002</v>
      </c>
      <c r="Q13">
        <f>AVERAGE(O13:P13)</f>
        <v>2.282</v>
      </c>
      <c r="R13" s="1">
        <f>Q13/4.2427*I13/J13</f>
        <v>1.2224205426647268</v>
      </c>
      <c r="S13" s="1">
        <f>R13*342.3</f>
        <v>418.43455175413601</v>
      </c>
      <c r="T13" s="1">
        <f>S13*0.42</f>
        <v>175.74251173673713</v>
      </c>
      <c r="V13" s="1"/>
      <c r="W13" s="1"/>
      <c r="X13" s="1"/>
    </row>
    <row r="14" spans="1:24" ht="15.75" x14ac:dyDescent="0.25">
      <c r="A14" s="7">
        <v>20230823</v>
      </c>
      <c r="B14" s="1" t="s">
        <v>85</v>
      </c>
      <c r="C14" s="1">
        <v>3</v>
      </c>
      <c r="D14" s="1" t="s">
        <v>3</v>
      </c>
      <c r="E14" s="1" t="s">
        <v>84</v>
      </c>
      <c r="F14" t="s">
        <v>83</v>
      </c>
      <c r="G14" s="1" t="s">
        <v>82</v>
      </c>
      <c r="H14">
        <v>10</v>
      </c>
      <c r="I14">
        <v>0.25</v>
      </c>
      <c r="J14">
        <v>0.11</v>
      </c>
      <c r="K14">
        <v>0.47299999999999998</v>
      </c>
      <c r="L14">
        <v>0.47799999999999998</v>
      </c>
      <c r="M14">
        <v>2.2852000000000001</v>
      </c>
      <c r="N14">
        <v>2.2822</v>
      </c>
      <c r="O14">
        <f>M14-K14</f>
        <v>1.8122000000000003</v>
      </c>
      <c r="P14">
        <f>N14-L14</f>
        <v>1.8042</v>
      </c>
      <c r="Q14">
        <f>AVERAGE(O14:P14)</f>
        <v>1.8082000000000003</v>
      </c>
      <c r="R14" s="1">
        <f>Q14/4.2427*I14/J14</f>
        <v>0.96861561141382957</v>
      </c>
      <c r="S14" s="1">
        <f>R14*342.3</f>
        <v>331.55712378695387</v>
      </c>
      <c r="T14" s="1">
        <f>S14*0.42</f>
        <v>139.25399199052063</v>
      </c>
      <c r="V14" s="1"/>
      <c r="W14" s="1"/>
      <c r="X14" s="1"/>
    </row>
    <row r="15" spans="1:24" ht="15.75" x14ac:dyDescent="0.25">
      <c r="B15" s="1"/>
    </row>
    <row r="16" spans="1:24" ht="15.75" x14ac:dyDescent="0.25">
      <c r="B16" s="1"/>
    </row>
    <row r="17" spans="2:2" ht="15.75" x14ac:dyDescent="0.25">
      <c r="B17" s="1"/>
    </row>
    <row r="18" spans="2:2" ht="15.75" x14ac:dyDescent="0.25">
      <c r="B18" s="1"/>
    </row>
    <row r="19" spans="2:2" ht="15.75" x14ac:dyDescent="0.25">
      <c r="B19" s="1"/>
    </row>
    <row r="20" spans="2:2" ht="15.75" x14ac:dyDescent="0.25">
      <c r="B20" s="1"/>
    </row>
  </sheetData>
  <conditionalFormatting sqref="O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Vallcebre y MontejoSierra</vt:lpstr>
      <vt:lpstr>Orduña_summer_orientaciones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2023-10-16T13:29:44Z</dcterms:created>
  <dcterms:modified xsi:type="dcterms:W3CDTF">2023-10-16T13:33:58Z</dcterms:modified>
</cp:coreProperties>
</file>