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lopez\Desktop\PHLISCO\Campo_2023\Sugar_2023\"/>
    </mc:Choice>
  </mc:AlternateContent>
  <xr:revisionPtr revIDLastSave="0" documentId="13_ncr:1_{61AFA43E-4DC6-4E0C-A87C-88A014E2366E}" xr6:coauthVersionLast="36" xr6:coauthVersionMax="47" xr10:uidLastSave="{00000000-0000-0000-0000-000000000000}"/>
  <bookViews>
    <workbookView xWindow="0" yWindow="0" windowWidth="19200" windowHeight="6930" xr2:uid="{4D7CAC83-7047-4AF8-AE84-DDC6A86CA630}"/>
  </bookViews>
  <sheets>
    <sheet name="Orduña" sheetId="1" r:id="rId1"/>
    <sheet name="Gradien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1" i="1" l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20" i="1"/>
  <c r="S35" i="2"/>
  <c r="S36" i="2"/>
  <c r="S37" i="2"/>
  <c r="S38" i="2"/>
  <c r="S39" i="2"/>
  <c r="S40" i="2"/>
  <c r="S41" i="2"/>
  <c r="S42" i="2"/>
  <c r="S43" i="2"/>
  <c r="S44" i="2"/>
  <c r="S45" i="2"/>
  <c r="S34" i="2"/>
  <c r="S8" i="2"/>
  <c r="S9" i="2"/>
  <c r="S10" i="2"/>
  <c r="S11" i="2"/>
  <c r="S12" i="2"/>
  <c r="S13" i="2"/>
  <c r="S14" i="2"/>
  <c r="S15" i="2"/>
  <c r="S7" i="2"/>
  <c r="P15" i="2"/>
  <c r="O15" i="2"/>
  <c r="Q15" i="2" s="1"/>
  <c r="R15" i="2" s="1"/>
  <c r="Q14" i="2"/>
  <c r="R14" i="2" s="1"/>
  <c r="P14" i="2"/>
  <c r="O14" i="2"/>
  <c r="P13" i="2"/>
  <c r="O13" i="2"/>
  <c r="Q12" i="2"/>
  <c r="R12" i="2" s="1"/>
  <c r="P12" i="2"/>
  <c r="O12" i="2"/>
  <c r="P11" i="2"/>
  <c r="Q11" i="2" s="1"/>
  <c r="R11" i="2" s="1"/>
  <c r="O11" i="2"/>
  <c r="P10" i="2"/>
  <c r="O10" i="2"/>
  <c r="Q10" i="2" s="1"/>
  <c r="R10" i="2" s="1"/>
  <c r="P9" i="2"/>
  <c r="O9" i="2"/>
  <c r="Q9" i="2" s="1"/>
  <c r="R9" i="2" s="1"/>
  <c r="P8" i="2"/>
  <c r="O8" i="2"/>
  <c r="Q8" i="2" s="1"/>
  <c r="R8" i="2" s="1"/>
  <c r="P7" i="2"/>
  <c r="O7" i="2"/>
  <c r="P45" i="2"/>
  <c r="O45" i="2"/>
  <c r="Q45" i="2" s="1"/>
  <c r="R45" i="2" s="1"/>
  <c r="P44" i="2"/>
  <c r="O44" i="2"/>
  <c r="Q43" i="2"/>
  <c r="R43" i="2" s="1"/>
  <c r="P43" i="2"/>
  <c r="O43" i="2"/>
  <c r="P42" i="2"/>
  <c r="O42" i="2"/>
  <c r="P41" i="2"/>
  <c r="O41" i="2"/>
  <c r="Q41" i="2" s="1"/>
  <c r="R41" i="2" s="1"/>
  <c r="P40" i="2"/>
  <c r="O40" i="2"/>
  <c r="Q40" i="2" s="1"/>
  <c r="R40" i="2" s="1"/>
  <c r="P39" i="2"/>
  <c r="O39" i="2"/>
  <c r="P38" i="2"/>
  <c r="O38" i="2"/>
  <c r="Q38" i="2" s="1"/>
  <c r="R38" i="2" s="1"/>
  <c r="P37" i="2"/>
  <c r="Q37" i="2" s="1"/>
  <c r="R37" i="2" s="1"/>
  <c r="O37" i="2"/>
  <c r="P36" i="2"/>
  <c r="O36" i="2"/>
  <c r="P35" i="2"/>
  <c r="O35" i="2"/>
  <c r="Q35" i="2" s="1"/>
  <c r="R35" i="2" s="1"/>
  <c r="P34" i="2"/>
  <c r="O34" i="2"/>
  <c r="P33" i="2"/>
  <c r="O33" i="2"/>
  <c r="Q33" i="2" s="1"/>
  <c r="R33" i="2" s="1"/>
  <c r="S33" i="2" s="1"/>
  <c r="P32" i="2"/>
  <c r="O32" i="2"/>
  <c r="P31" i="2"/>
  <c r="O31" i="2"/>
  <c r="Q31" i="2" s="1"/>
  <c r="R31" i="2" s="1"/>
  <c r="S31" i="2" s="1"/>
  <c r="P30" i="2"/>
  <c r="O30" i="2"/>
  <c r="P29" i="2"/>
  <c r="O29" i="2"/>
  <c r="P28" i="2"/>
  <c r="Q28" i="2" s="1"/>
  <c r="R28" i="2" s="1"/>
  <c r="S28" i="2" s="1"/>
  <c r="O28" i="2"/>
  <c r="P27" i="2"/>
  <c r="Q27" i="2" s="1"/>
  <c r="R27" i="2" s="1"/>
  <c r="S27" i="2" s="1"/>
  <c r="O27" i="2"/>
  <c r="P26" i="2"/>
  <c r="O26" i="2"/>
  <c r="P25" i="2"/>
  <c r="Q25" i="2" s="1"/>
  <c r="R25" i="2" s="1"/>
  <c r="S25" i="2" s="1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6" i="2"/>
  <c r="O6" i="2"/>
  <c r="P5" i="2"/>
  <c r="Q5" i="2" s="1"/>
  <c r="R5" i="2" s="1"/>
  <c r="S5" i="2" s="1"/>
  <c r="O5" i="2"/>
  <c r="P4" i="2"/>
  <c r="O4" i="2"/>
  <c r="P3" i="2"/>
  <c r="O3" i="2"/>
  <c r="P2" i="2"/>
  <c r="O2" i="2"/>
  <c r="Q2" i="2" l="1"/>
  <c r="R2" i="2" s="1"/>
  <c r="S2" i="2" s="1"/>
  <c r="Q6" i="2"/>
  <c r="R6" i="2" s="1"/>
  <c r="S6" i="2" s="1"/>
  <c r="Q23" i="2"/>
  <c r="R23" i="2" s="1"/>
  <c r="S23" i="2" s="1"/>
  <c r="Q34" i="2"/>
  <c r="R34" i="2" s="1"/>
  <c r="Q13" i="2"/>
  <c r="R13" i="2" s="1"/>
  <c r="Q3" i="2"/>
  <c r="R3" i="2" s="1"/>
  <c r="S3" i="2" s="1"/>
  <c r="Q20" i="2"/>
  <c r="R20" i="2" s="1"/>
  <c r="S20" i="2" s="1"/>
  <c r="Q42" i="2"/>
  <c r="R42" i="2" s="1"/>
  <c r="Q32" i="2"/>
  <c r="R32" i="2" s="1"/>
  <c r="S32" i="2" s="1"/>
  <c r="Q39" i="2"/>
  <c r="R39" i="2" s="1"/>
  <c r="Q7" i="2"/>
  <c r="R7" i="2" s="1"/>
  <c r="Q4" i="2"/>
  <c r="R4" i="2" s="1"/>
  <c r="S4" i="2" s="1"/>
  <c r="Q17" i="2"/>
  <c r="R17" i="2" s="1"/>
  <c r="S17" i="2" s="1"/>
  <c r="Q21" i="2"/>
  <c r="R21" i="2" s="1"/>
  <c r="S21" i="2" s="1"/>
  <c r="Q29" i="2"/>
  <c r="R29" i="2" s="1"/>
  <c r="S29" i="2" s="1"/>
  <c r="Q36" i="2"/>
  <c r="R36" i="2" s="1"/>
  <c r="Q22" i="2"/>
  <c r="R22" i="2" s="1"/>
  <c r="S22" i="2" s="1"/>
  <c r="Q26" i="2"/>
  <c r="R26" i="2" s="1"/>
  <c r="S26" i="2" s="1"/>
  <c r="Q30" i="2"/>
  <c r="R30" i="2" s="1"/>
  <c r="S30" i="2" s="1"/>
  <c r="Q44" i="2"/>
  <c r="R44" i="2" s="1"/>
  <c r="Q18" i="2"/>
  <c r="R18" i="2" s="1"/>
  <c r="S18" i="2" s="1"/>
  <c r="Q24" i="2"/>
  <c r="R24" i="2" s="1"/>
  <c r="S24" i="2" s="1"/>
  <c r="Q16" i="2"/>
  <c r="R16" i="2" s="1"/>
  <c r="S16" i="2" s="1"/>
  <c r="Q19" i="2"/>
  <c r="R19" i="2" s="1"/>
  <c r="S19" i="2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Q23" i="1" s="1"/>
  <c r="R23" i="1" s="1"/>
  <c r="O24" i="1"/>
  <c r="O25" i="1"/>
  <c r="O26" i="1"/>
  <c r="O27" i="1"/>
  <c r="O28" i="1"/>
  <c r="O29" i="1"/>
  <c r="O30" i="1"/>
  <c r="O31" i="1"/>
  <c r="Q31" i="1" s="1"/>
  <c r="R31" i="1" s="1"/>
  <c r="O32" i="1"/>
  <c r="O33" i="1"/>
  <c r="O34" i="1"/>
  <c r="O35" i="1"/>
  <c r="O36" i="1"/>
  <c r="O37" i="1"/>
  <c r="O38" i="1"/>
  <c r="O39" i="1"/>
  <c r="Q39" i="1" s="1"/>
  <c r="R39" i="1" s="1"/>
  <c r="O40" i="1"/>
  <c r="O41" i="1"/>
  <c r="O42" i="1"/>
  <c r="O43" i="1"/>
  <c r="O2" i="1"/>
  <c r="Q14" i="1" l="1"/>
  <c r="R14" i="1" s="1"/>
  <c r="S14" i="1" s="1"/>
  <c r="Q6" i="1"/>
  <c r="R6" i="1" s="1"/>
  <c r="S6" i="1" s="1"/>
  <c r="Q43" i="1"/>
  <c r="R43" i="1" s="1"/>
  <c r="Q35" i="1"/>
  <c r="R35" i="1" s="1"/>
  <c r="Q27" i="1"/>
  <c r="R27" i="1" s="1"/>
  <c r="Q18" i="1"/>
  <c r="R18" i="1" s="1"/>
  <c r="S18" i="1" s="1"/>
  <c r="Q10" i="1"/>
  <c r="R10" i="1" s="1"/>
  <c r="S10" i="1" s="1"/>
  <c r="Q41" i="1"/>
  <c r="R41" i="1" s="1"/>
  <c r="Q42" i="1"/>
  <c r="R42" i="1" s="1"/>
  <c r="Q9" i="1"/>
  <c r="R9" i="1" s="1"/>
  <c r="S9" i="1" s="1"/>
  <c r="Q2" i="1"/>
  <c r="R2" i="1" s="1"/>
  <c r="S2" i="1" s="1"/>
  <c r="Q33" i="1"/>
  <c r="R33" i="1" s="1"/>
  <c r="Q25" i="1"/>
  <c r="R25" i="1" s="1"/>
  <c r="Q16" i="1"/>
  <c r="R16" i="1" s="1"/>
  <c r="S16" i="1" s="1"/>
  <c r="Q8" i="1"/>
  <c r="R8" i="1" s="1"/>
  <c r="S8" i="1" s="1"/>
  <c r="Q40" i="1"/>
  <c r="R40" i="1" s="1"/>
  <c r="Q32" i="1"/>
  <c r="R32" i="1" s="1"/>
  <c r="Q24" i="1"/>
  <c r="R24" i="1" s="1"/>
  <c r="Q15" i="1"/>
  <c r="R15" i="1" s="1"/>
  <c r="S15" i="1" s="1"/>
  <c r="Q7" i="1"/>
  <c r="R7" i="1" s="1"/>
  <c r="S7" i="1" s="1"/>
  <c r="Q36" i="1"/>
  <c r="R36" i="1" s="1"/>
  <c r="Q28" i="1"/>
  <c r="R28" i="1" s="1"/>
  <c r="Q20" i="1"/>
  <c r="R20" i="1" s="1"/>
  <c r="Q19" i="1"/>
  <c r="R19" i="1" s="1"/>
  <c r="S19" i="1" s="1"/>
  <c r="Q11" i="1"/>
  <c r="R11" i="1" s="1"/>
  <c r="S11" i="1" s="1"/>
  <c r="Q3" i="1"/>
  <c r="R3" i="1" s="1"/>
  <c r="S3" i="1" s="1"/>
  <c r="Q34" i="1"/>
  <c r="R34" i="1" s="1"/>
  <c r="Q26" i="1"/>
  <c r="R26" i="1" s="1"/>
  <c r="Q17" i="1"/>
  <c r="R17" i="1" s="1"/>
  <c r="S17" i="1" s="1"/>
  <c r="Q38" i="1"/>
  <c r="R38" i="1" s="1"/>
  <c r="Q13" i="1"/>
  <c r="R13" i="1" s="1"/>
  <c r="S13" i="1" s="1"/>
  <c r="Q5" i="1"/>
  <c r="R5" i="1" s="1"/>
  <c r="S5" i="1" s="1"/>
  <c r="Q37" i="1"/>
  <c r="R37" i="1" s="1"/>
  <c r="Q29" i="1"/>
  <c r="R29" i="1" s="1"/>
  <c r="Q21" i="1"/>
  <c r="R21" i="1" s="1"/>
  <c r="Q12" i="1"/>
  <c r="R12" i="1" s="1"/>
  <c r="S12" i="1" s="1"/>
  <c r="Q4" i="1"/>
  <c r="R4" i="1" s="1"/>
  <c r="S4" i="1" s="1"/>
  <c r="Q30" i="1"/>
  <c r="R30" i="1" s="1"/>
  <c r="Q22" i="1"/>
  <c r="R22" i="1" s="1"/>
</calcChain>
</file>

<file path=xl/sharedStrings.xml><?xml version="1.0" encoding="utf-8"?>
<sst xmlns="http://schemas.openxmlformats.org/spreadsheetml/2006/main" count="380" uniqueCount="53">
  <si>
    <t>id_plant</t>
  </si>
  <si>
    <t>Vol extraccion sac (ml)</t>
  </si>
  <si>
    <t># de hojas</t>
  </si>
  <si>
    <t>Vol_resusp (ml)</t>
  </si>
  <si>
    <t>Vol_final_pocillo_sac_(ml)</t>
  </si>
  <si>
    <t>Vol sacarosa (ml)</t>
  </si>
  <si>
    <t>Sacarosa 01</t>
  </si>
  <si>
    <t>rep_S01</t>
  </si>
  <si>
    <t>Sacarosa 02</t>
  </si>
  <si>
    <t>rep_S02</t>
  </si>
  <si>
    <t>Sac 02-01</t>
  </si>
  <si>
    <t>Sac_rep_02-01</t>
  </si>
  <si>
    <t>Promedio sacarosa</t>
  </si>
  <si>
    <t>2_SPH_SRT</t>
  </si>
  <si>
    <t>Aplicando la recta sacarosa_um_ml</t>
  </si>
  <si>
    <t>date</t>
  </si>
  <si>
    <t>season</t>
  </si>
  <si>
    <t>light_exposure</t>
  </si>
  <si>
    <t>spring</t>
  </si>
  <si>
    <t>sun</t>
  </si>
  <si>
    <t>shade</t>
  </si>
  <si>
    <t>shade low</t>
  </si>
  <si>
    <t>site</t>
  </si>
  <si>
    <t>orduña</t>
  </si>
  <si>
    <t>artikutza</t>
  </si>
  <si>
    <t>bertiz</t>
  </si>
  <si>
    <t>diustes</t>
  </si>
  <si>
    <t>iturrieta</t>
  </si>
  <si>
    <t>1_LPH</t>
  </si>
  <si>
    <t xml:space="preserve">2_LPH </t>
  </si>
  <si>
    <t xml:space="preserve">3_LPH </t>
  </si>
  <si>
    <t xml:space="preserve">4_LPH </t>
  </si>
  <si>
    <t xml:space="preserve">5_LPH </t>
  </si>
  <si>
    <t xml:space="preserve">6_LPH </t>
  </si>
  <si>
    <t xml:space="preserve">1_SPH </t>
  </si>
  <si>
    <t xml:space="preserve">2_SPH </t>
  </si>
  <si>
    <t xml:space="preserve">3_SPH </t>
  </si>
  <si>
    <t xml:space="preserve">4_SPH </t>
  </si>
  <si>
    <t xml:space="preserve">5_SPH </t>
  </si>
  <si>
    <t xml:space="preserve">6_SPH </t>
  </si>
  <si>
    <t xml:space="preserve">1_LPH </t>
  </si>
  <si>
    <t xml:space="preserve">1_BPH </t>
  </si>
  <si>
    <t xml:space="preserve">2_BPH </t>
  </si>
  <si>
    <t xml:space="preserve">3_BPH </t>
  </si>
  <si>
    <t xml:space="preserve">4_BPH </t>
  </si>
  <si>
    <t xml:space="preserve">5_BPH </t>
  </si>
  <si>
    <t xml:space="preserve">6_BPH </t>
  </si>
  <si>
    <t>1_BPH</t>
  </si>
  <si>
    <t>2_BPH</t>
  </si>
  <si>
    <t>3_BPH</t>
  </si>
  <si>
    <t>4_BPH</t>
  </si>
  <si>
    <t>5_BPH</t>
  </si>
  <si>
    <t>6_BPH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</si>
</sst>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8">
    <xf numFmtId="0" fontId="0" fillId="0" borderId="0"/>
    <xf numFmtId="0" fontId="2" fillId="0" borderId="0"/>
    <xf numFmtId="0" fontId="3" fillId="0" borderId="0" applyNumberFormat="0" applyFont="0" applyFill="0" applyBorder="0" applyAlignment="0" applyProtection="0"/>
    <xf numFmtId="0" fontId="2" fillId="2" borderId="1" applyNumberFormat="0" applyFont="0" applyAlignment="0" applyProtection="0"/>
    <xf numFmtId="0" fontId="2" fillId="2" borderId="2" applyNumberFormat="0" applyFont="0" applyAlignment="0" applyProtection="0"/>
    <xf numFmtId="0" fontId="3" fillId="0" borderId="0"/>
    <xf numFmtId="0" fontId="3" fillId="2" borderId="1" applyNumberFormat="0" applyFont="0" applyAlignment="0" applyProtection="0"/>
    <xf numFmtId="0" fontId="3" fillId="2" borderId="2" applyNumberFormat="0" applyFont="0" applyAlignment="0" applyProtection="0"/>
  </cellStyleXfs>
  <cellXfs count="9">
    <xf numFmtId="0" fontId="0" fillId="0" borderId="0" xfId="0"/>
    <xf numFmtId="0" fontId="2" fillId="0" borderId="0" xfId="1" applyFill="1"/>
    <xf numFmtId="0" fontId="0" fillId="0" borderId="0" xfId="0" applyFill="1"/>
    <xf numFmtId="0" fontId="5" fillId="0" borderId="0" xfId="0" applyFont="1" applyFill="1"/>
    <xf numFmtId="0" fontId="4" fillId="0" borderId="0" xfId="1" applyFont="1" applyFill="1"/>
    <xf numFmtId="0" fontId="1" fillId="0" borderId="0" xfId="0" applyFont="1" applyFill="1"/>
    <xf numFmtId="0" fontId="0" fillId="3" borderId="0" xfId="0" applyFill="1"/>
    <xf numFmtId="0" fontId="2" fillId="3" borderId="0" xfId="1" applyFill="1"/>
    <xf numFmtId="0" fontId="6" fillId="0" borderId="0" xfId="0" applyFont="1" applyFill="1"/>
  </cellXfs>
  <cellStyles count="8">
    <cellStyle name="None" xfId="2" xr:uid="{4EC0982D-837B-4AB9-96E3-65A05F8120A3}"/>
    <cellStyle name="Normal" xfId="0" builtinId="0"/>
    <cellStyle name="Normal 2" xfId="1" xr:uid="{F269C163-E80E-4EC6-81FE-43F8A6AFDA80}"/>
    <cellStyle name="Normal 3" xfId="5" xr:uid="{69D2BEE5-0A00-4D43-B32A-07E426D07E10}"/>
    <cellStyle name="RSONoBtmBrdStyle" xfId="3" xr:uid="{D0AE4181-B541-4471-BE7E-C35773D91A3B}"/>
    <cellStyle name="RSONoBtmBrdStyle 2" xfId="6" xr:uid="{09D862D9-64F8-4351-A1A4-F91AE43C7FDD}"/>
    <cellStyle name="RSOStyle" xfId="4" xr:uid="{D522BB5F-0911-4605-9573-455E1959E4C7}"/>
    <cellStyle name="RSOStyle 2" xfId="7" xr:uid="{18FF03C6-03B5-49D6-8B60-CAF48B5D84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9FE3-3D51-4382-A5DA-2B8D1D3B39CD}">
  <dimension ref="A1:S66"/>
  <sheetViews>
    <sheetView tabSelected="1" topLeftCell="A22" workbookViewId="0">
      <pane xSplit="1" topLeftCell="F1" activePane="topRight" state="frozen"/>
      <selection pane="topRight" activeCell="G15" sqref="G15"/>
    </sheetView>
  </sheetViews>
  <sheetFormatPr defaultRowHeight="14.5" x14ac:dyDescent="0.35"/>
  <cols>
    <col min="1" max="2" width="15.26953125" style="2" customWidth="1"/>
    <col min="3" max="3" width="15.26953125" style="2" bestFit="1" customWidth="1"/>
    <col min="4" max="4" width="15.26953125" style="2" customWidth="1"/>
    <col min="5" max="5" width="8.7265625" style="2"/>
    <col min="6" max="6" width="15.08984375" style="2" customWidth="1"/>
    <col min="7" max="7" width="9.36328125" style="2" customWidth="1"/>
    <col min="8" max="8" width="15.6328125" style="2" customWidth="1"/>
    <col min="9" max="9" width="18.81640625" style="2" customWidth="1"/>
    <col min="10" max="10" width="8.90625" style="2" customWidth="1"/>
    <col min="11" max="11" width="12.81640625" style="2" customWidth="1"/>
    <col min="12" max="12" width="8.7265625" style="2"/>
    <col min="13" max="13" width="11.1796875" style="2" customWidth="1"/>
    <col min="14" max="14" width="8.7265625" style="2"/>
    <col min="15" max="15" width="11.36328125" style="2" customWidth="1"/>
    <col min="16" max="16384" width="8.7265625" style="2"/>
  </cols>
  <sheetData>
    <row r="1" spans="1:19" s="5" customFormat="1" ht="15.5" x14ac:dyDescent="0.35">
      <c r="A1" s="3" t="s">
        <v>15</v>
      </c>
      <c r="B1" s="3" t="s">
        <v>16</v>
      </c>
      <c r="C1" s="4" t="s">
        <v>0</v>
      </c>
      <c r="D1" s="3" t="s">
        <v>17</v>
      </c>
      <c r="E1" s="3" t="s">
        <v>22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14</v>
      </c>
      <c r="S1" s="4"/>
    </row>
    <row r="2" spans="1:19" x14ac:dyDescent="0.35">
      <c r="A2" s="2">
        <v>20230606</v>
      </c>
      <c r="B2" s="2" t="s">
        <v>18</v>
      </c>
      <c r="C2" s="2" t="s">
        <v>28</v>
      </c>
      <c r="D2" s="2" t="s">
        <v>19</v>
      </c>
      <c r="E2" s="2" t="s">
        <v>23</v>
      </c>
      <c r="F2" s="1">
        <v>1.8</v>
      </c>
      <c r="G2" s="1">
        <v>10</v>
      </c>
      <c r="H2" s="1">
        <v>0.5</v>
      </c>
      <c r="I2" s="1">
        <v>0.25</v>
      </c>
      <c r="J2" s="1">
        <v>1.4999999999999999E-2</v>
      </c>
      <c r="K2" s="1">
        <v>0.30499999999999999</v>
      </c>
      <c r="L2" s="1">
        <v>0.308</v>
      </c>
      <c r="M2" s="1">
        <v>0.32500000000000001</v>
      </c>
      <c r="N2" s="1">
        <v>0.32900000000000001</v>
      </c>
      <c r="O2" s="2">
        <f>M2-K2</f>
        <v>2.0000000000000018E-2</v>
      </c>
      <c r="P2" s="2">
        <f>N2-L2</f>
        <v>2.1000000000000019E-2</v>
      </c>
      <c r="Q2" s="2">
        <f>AVERAGE(O2,P2)</f>
        <v>2.0500000000000018E-2</v>
      </c>
      <c r="R2" s="2">
        <f>Q2/4.2427*I2/J2</f>
        <v>8.0530479804527072E-2</v>
      </c>
      <c r="S2" s="2">
        <f>R2*H2</f>
        <v>4.0265239902263536E-2</v>
      </c>
    </row>
    <row r="3" spans="1:19" x14ac:dyDescent="0.35">
      <c r="A3" s="2">
        <v>20230606</v>
      </c>
      <c r="B3" s="2" t="s">
        <v>18</v>
      </c>
      <c r="C3" s="2" t="s">
        <v>28</v>
      </c>
      <c r="D3" s="2" t="s">
        <v>20</v>
      </c>
      <c r="E3" s="2" t="s">
        <v>23</v>
      </c>
      <c r="F3" s="1">
        <v>1.8</v>
      </c>
      <c r="G3" s="1">
        <v>10</v>
      </c>
      <c r="H3" s="1">
        <v>0.5</v>
      </c>
      <c r="I3" s="1">
        <v>0.25</v>
      </c>
      <c r="J3" s="1">
        <v>1.4999999999999999E-2</v>
      </c>
      <c r="K3" s="1">
        <v>0.29699999999999999</v>
      </c>
      <c r="L3" s="1">
        <v>0.29499999999999998</v>
      </c>
      <c r="M3" s="1">
        <v>0.32300000000000001</v>
      </c>
      <c r="N3" s="1">
        <v>0.32200000000000001</v>
      </c>
      <c r="O3" s="2">
        <f>M3-K3</f>
        <v>2.6000000000000023E-2</v>
      </c>
      <c r="P3" s="2">
        <f>N3-L3</f>
        <v>2.7000000000000024E-2</v>
      </c>
      <c r="Q3" s="2">
        <f>AVERAGE(O3,P3)</f>
        <v>2.6500000000000024E-2</v>
      </c>
      <c r="R3" s="2">
        <f>Q3/4.2427*I3/J3</f>
        <v>0.10410037633268132</v>
      </c>
      <c r="S3" s="2">
        <f>R3*H3</f>
        <v>5.2050188166340661E-2</v>
      </c>
    </row>
    <row r="4" spans="1:19" x14ac:dyDescent="0.35">
      <c r="A4" s="2">
        <v>20230606</v>
      </c>
      <c r="B4" s="2" t="s">
        <v>18</v>
      </c>
      <c r="C4" s="2" t="s">
        <v>40</v>
      </c>
      <c r="D4" s="2" t="s">
        <v>21</v>
      </c>
      <c r="E4" s="2" t="s">
        <v>23</v>
      </c>
      <c r="F4" s="1">
        <v>1.8</v>
      </c>
      <c r="G4" s="1">
        <v>10</v>
      </c>
      <c r="H4" s="1">
        <v>0.5</v>
      </c>
      <c r="I4" s="1">
        <v>0.25</v>
      </c>
      <c r="J4" s="1">
        <v>1.4999999999999999E-2</v>
      </c>
      <c r="K4" s="1">
        <v>0.29399999999999998</v>
      </c>
      <c r="L4" s="1">
        <v>0.29199999999999998</v>
      </c>
      <c r="M4" s="1">
        <v>0.31</v>
      </c>
      <c r="N4" s="1">
        <v>0.312</v>
      </c>
      <c r="O4" s="2">
        <f>M4-K4</f>
        <v>1.6000000000000014E-2</v>
      </c>
      <c r="P4" s="2">
        <f>N4-L4</f>
        <v>2.0000000000000018E-2</v>
      </c>
      <c r="Q4" s="2">
        <f>AVERAGE(O4,P4)</f>
        <v>1.8000000000000016E-2</v>
      </c>
      <c r="R4" s="2">
        <f>Q4/4.2427*I4/J4</f>
        <v>7.070968958446279E-2</v>
      </c>
      <c r="S4" s="2">
        <f>R4*H4</f>
        <v>3.5354844792231395E-2</v>
      </c>
    </row>
    <row r="5" spans="1:19" x14ac:dyDescent="0.35">
      <c r="A5" s="2">
        <v>20230606</v>
      </c>
      <c r="B5" s="2" t="s">
        <v>18</v>
      </c>
      <c r="C5" s="2" t="s">
        <v>29</v>
      </c>
      <c r="D5" s="2" t="s">
        <v>19</v>
      </c>
      <c r="E5" s="2" t="s">
        <v>23</v>
      </c>
      <c r="F5" s="1">
        <v>1.8</v>
      </c>
      <c r="G5" s="1">
        <v>10</v>
      </c>
      <c r="H5" s="1">
        <v>0.5</v>
      </c>
      <c r="I5" s="1">
        <v>0.25</v>
      </c>
      <c r="J5" s="1">
        <v>1.4999999999999999E-2</v>
      </c>
      <c r="K5" s="1">
        <v>0.312</v>
      </c>
      <c r="L5" s="1">
        <v>0.29399999999999998</v>
      </c>
      <c r="M5" s="1">
        <v>0.34499999999999997</v>
      </c>
      <c r="N5" s="1">
        <v>0.31900000000000001</v>
      </c>
      <c r="O5" s="2">
        <f>M5-K5</f>
        <v>3.2999999999999974E-2</v>
      </c>
      <c r="P5" s="2">
        <f>N5-L5</f>
        <v>2.5000000000000022E-2</v>
      </c>
      <c r="Q5" s="2">
        <f>AVERAGE(O5,P5)</f>
        <v>2.8999999999999998E-2</v>
      </c>
      <c r="R5" s="2">
        <f>Q5/4.2427*I5/J5</f>
        <v>0.11392116655274549</v>
      </c>
      <c r="S5" s="2">
        <f>R5*H5</f>
        <v>5.6960583276372746E-2</v>
      </c>
    </row>
    <row r="6" spans="1:19" x14ac:dyDescent="0.35">
      <c r="A6" s="2">
        <v>20230606</v>
      </c>
      <c r="B6" s="2" t="s">
        <v>18</v>
      </c>
      <c r="C6" s="2" t="s">
        <v>29</v>
      </c>
      <c r="D6" s="2" t="s">
        <v>20</v>
      </c>
      <c r="E6" s="2" t="s">
        <v>23</v>
      </c>
      <c r="F6" s="1">
        <v>1.8</v>
      </c>
      <c r="G6" s="1">
        <v>10</v>
      </c>
      <c r="H6" s="1">
        <v>0.5</v>
      </c>
      <c r="I6" s="1">
        <v>0.25</v>
      </c>
      <c r="J6" s="1">
        <v>1.4999999999999999E-2</v>
      </c>
      <c r="K6" s="1">
        <v>0.29299999999999998</v>
      </c>
      <c r="L6" s="1">
        <v>0.28699999999999998</v>
      </c>
      <c r="M6" s="1">
        <v>0.309</v>
      </c>
      <c r="N6" s="1">
        <v>0.308</v>
      </c>
      <c r="O6" s="2">
        <f>M6-K6</f>
        <v>1.6000000000000014E-2</v>
      </c>
      <c r="P6" s="2">
        <f>N6-L6</f>
        <v>2.1000000000000019E-2</v>
      </c>
      <c r="Q6" s="2">
        <f>AVERAGE(O6,P6)</f>
        <v>1.8500000000000016E-2</v>
      </c>
      <c r="R6" s="2">
        <f>Q6/4.2427*I6/J6</f>
        <v>7.2673847628475632E-2</v>
      </c>
      <c r="S6" s="2">
        <f>R6*H6</f>
        <v>3.6336923814237816E-2</v>
      </c>
    </row>
    <row r="7" spans="1:19" x14ac:dyDescent="0.35">
      <c r="A7" s="2">
        <v>20230606</v>
      </c>
      <c r="B7" s="2" t="s">
        <v>18</v>
      </c>
      <c r="C7" s="2" t="s">
        <v>29</v>
      </c>
      <c r="D7" s="2" t="s">
        <v>21</v>
      </c>
      <c r="E7" s="2" t="s">
        <v>23</v>
      </c>
      <c r="F7" s="1">
        <v>1.8</v>
      </c>
      <c r="G7" s="1">
        <v>10</v>
      </c>
      <c r="H7" s="1">
        <v>0.5</v>
      </c>
      <c r="I7" s="1">
        <v>0.25</v>
      </c>
      <c r="J7" s="1">
        <v>1.4999999999999999E-2</v>
      </c>
      <c r="K7" s="1">
        <v>0.30199999999999999</v>
      </c>
      <c r="L7" s="1">
        <v>0.30099999999999999</v>
      </c>
      <c r="M7" s="1">
        <v>0.33500000000000002</v>
      </c>
      <c r="N7" s="1">
        <v>0.34100000000000003</v>
      </c>
      <c r="O7" s="2">
        <f>M7-K7</f>
        <v>3.3000000000000029E-2</v>
      </c>
      <c r="P7" s="2">
        <f>N7-L7</f>
        <v>4.0000000000000036E-2</v>
      </c>
      <c r="Q7" s="2">
        <f>AVERAGE(O7,P7)</f>
        <v>3.6500000000000032E-2</v>
      </c>
      <c r="R7" s="2">
        <f>Q7/4.2427*I7/J7</f>
        <v>0.14338353721293842</v>
      </c>
      <c r="S7" s="2">
        <f>R7*H7</f>
        <v>7.1691768606469211E-2</v>
      </c>
    </row>
    <row r="8" spans="1:19" x14ac:dyDescent="0.35">
      <c r="A8" s="2">
        <v>20230606</v>
      </c>
      <c r="B8" s="2" t="s">
        <v>18</v>
      </c>
      <c r="C8" s="2" t="s">
        <v>30</v>
      </c>
      <c r="D8" s="2" t="s">
        <v>19</v>
      </c>
      <c r="E8" s="2" t="s">
        <v>23</v>
      </c>
      <c r="F8" s="1">
        <v>1.8</v>
      </c>
      <c r="G8" s="1">
        <v>10</v>
      </c>
      <c r="H8" s="1">
        <v>0.5</v>
      </c>
      <c r="I8" s="1">
        <v>0.25</v>
      </c>
      <c r="J8" s="1">
        <v>1.4999999999999999E-2</v>
      </c>
      <c r="K8" s="1">
        <v>0.46</v>
      </c>
      <c r="L8" s="1">
        <v>0.46800000000000003</v>
      </c>
      <c r="M8" s="1">
        <v>0.54300000000000004</v>
      </c>
      <c r="N8" s="1">
        <v>0.55400000000000005</v>
      </c>
      <c r="O8" s="2">
        <f>M8-K8</f>
        <v>8.3000000000000018E-2</v>
      </c>
      <c r="P8" s="2">
        <f>N8-L8</f>
        <v>8.6000000000000021E-2</v>
      </c>
      <c r="Q8" s="2">
        <f>AVERAGE(O8,P8)</f>
        <v>8.450000000000002E-2</v>
      </c>
      <c r="R8" s="2">
        <f>Q8/4.2427*I8/J8</f>
        <v>0.33194270943817228</v>
      </c>
      <c r="S8" s="2">
        <f>R8*H8</f>
        <v>0.16597135471908614</v>
      </c>
    </row>
    <row r="9" spans="1:19" x14ac:dyDescent="0.35">
      <c r="A9" s="2">
        <v>20230606</v>
      </c>
      <c r="B9" s="2" t="s">
        <v>18</v>
      </c>
      <c r="C9" s="2" t="s">
        <v>30</v>
      </c>
      <c r="D9" s="2" t="s">
        <v>20</v>
      </c>
      <c r="E9" s="2" t="s">
        <v>23</v>
      </c>
      <c r="F9" s="1">
        <v>1.8</v>
      </c>
      <c r="G9" s="1">
        <v>10</v>
      </c>
      <c r="H9" s="1">
        <v>0.5</v>
      </c>
      <c r="I9" s="1">
        <v>0.25</v>
      </c>
      <c r="J9" s="1">
        <v>1.4999999999999999E-2</v>
      </c>
      <c r="K9" s="1">
        <v>0.40899999999999997</v>
      </c>
      <c r="L9" s="1">
        <v>0.42199999999999999</v>
      </c>
      <c r="M9" s="1">
        <v>0.46800000000000003</v>
      </c>
      <c r="N9" s="1">
        <v>0.47799999999999998</v>
      </c>
      <c r="O9" s="2">
        <f>M9-K9</f>
        <v>5.9000000000000052E-2</v>
      </c>
      <c r="P9" s="2">
        <f>N9-L9</f>
        <v>5.5999999999999994E-2</v>
      </c>
      <c r="Q9" s="2">
        <f>AVERAGE(O9,P9)</f>
        <v>5.7500000000000023E-2</v>
      </c>
      <c r="R9" s="2">
        <f>Q9/4.2427*I9/J9</f>
        <v>0.22587817506147825</v>
      </c>
      <c r="S9" s="2">
        <f>R9*H9</f>
        <v>0.11293908753073913</v>
      </c>
    </row>
    <row r="10" spans="1:19" x14ac:dyDescent="0.35">
      <c r="A10" s="2">
        <v>20230606</v>
      </c>
      <c r="B10" s="2" t="s">
        <v>18</v>
      </c>
      <c r="C10" s="2" t="s">
        <v>30</v>
      </c>
      <c r="D10" s="2" t="s">
        <v>21</v>
      </c>
      <c r="E10" s="2" t="s">
        <v>23</v>
      </c>
      <c r="F10" s="1">
        <v>1.8</v>
      </c>
      <c r="G10" s="1">
        <v>10</v>
      </c>
      <c r="H10" s="1">
        <v>0.5</v>
      </c>
      <c r="I10" s="1">
        <v>0.25</v>
      </c>
      <c r="J10" s="1">
        <v>1.4999999999999999E-2</v>
      </c>
      <c r="K10" s="1">
        <v>0.36899999999999999</v>
      </c>
      <c r="L10" s="1">
        <v>0.372</v>
      </c>
      <c r="M10" s="1">
        <v>0.41899999999999998</v>
      </c>
      <c r="N10" s="1">
        <v>0.42</v>
      </c>
      <c r="O10" s="2">
        <f>M10-K10</f>
        <v>4.9999999999999989E-2</v>
      </c>
      <c r="P10" s="2">
        <f>N10-L10</f>
        <v>4.7999999999999987E-2</v>
      </c>
      <c r="Q10" s="2">
        <f>AVERAGE(O10,P10)</f>
        <v>4.8999999999999988E-2</v>
      </c>
      <c r="R10" s="2">
        <f>Q10/4.2427*I10/J10</f>
        <v>0.19248748831325957</v>
      </c>
      <c r="S10" s="2">
        <f>R10*H10</f>
        <v>9.6243744156629785E-2</v>
      </c>
    </row>
    <row r="11" spans="1:19" x14ac:dyDescent="0.35">
      <c r="A11" s="2">
        <v>20230606</v>
      </c>
      <c r="B11" s="2" t="s">
        <v>18</v>
      </c>
      <c r="C11" s="2" t="s">
        <v>31</v>
      </c>
      <c r="D11" s="2" t="s">
        <v>19</v>
      </c>
      <c r="E11" s="2" t="s">
        <v>23</v>
      </c>
      <c r="F11" s="1">
        <v>1.8</v>
      </c>
      <c r="G11" s="1">
        <v>10</v>
      </c>
      <c r="H11" s="1">
        <v>0.5</v>
      </c>
      <c r="I11" s="1">
        <v>0.25</v>
      </c>
      <c r="J11" s="1">
        <v>1.4999999999999999E-2</v>
      </c>
      <c r="K11" s="1">
        <v>0.30599999999999999</v>
      </c>
      <c r="L11" s="1">
        <v>0.307</v>
      </c>
      <c r="M11" s="1">
        <v>0.35299999999999998</v>
      </c>
      <c r="N11" s="1">
        <v>0.36</v>
      </c>
      <c r="O11" s="2">
        <f>M11-K11</f>
        <v>4.6999999999999986E-2</v>
      </c>
      <c r="P11" s="2">
        <f>N11-L11</f>
        <v>5.2999999999999992E-2</v>
      </c>
      <c r="Q11" s="2">
        <f>AVERAGE(O11,P11)</f>
        <v>4.9999999999999989E-2</v>
      </c>
      <c r="R11" s="2">
        <f>Q11/4.2427*I11/J11</f>
        <v>0.19641580440128531</v>
      </c>
      <c r="S11" s="2">
        <f>R11*H11</f>
        <v>9.8207902200642655E-2</v>
      </c>
    </row>
    <row r="12" spans="1:19" x14ac:dyDescent="0.35">
      <c r="A12" s="2">
        <v>20230606</v>
      </c>
      <c r="B12" s="2" t="s">
        <v>18</v>
      </c>
      <c r="C12" s="2" t="s">
        <v>31</v>
      </c>
      <c r="D12" s="2" t="s">
        <v>20</v>
      </c>
      <c r="E12" s="2" t="s">
        <v>23</v>
      </c>
      <c r="F12" s="1">
        <v>1.8</v>
      </c>
      <c r="G12" s="1">
        <v>10</v>
      </c>
      <c r="H12" s="1">
        <v>0.5</v>
      </c>
      <c r="I12" s="1">
        <v>0.25</v>
      </c>
      <c r="J12" s="1">
        <v>1.4999999999999999E-2</v>
      </c>
      <c r="K12" s="1">
        <v>0.30299999999999999</v>
      </c>
      <c r="L12" s="1">
        <v>0.29399999999999998</v>
      </c>
      <c r="M12" s="1">
        <v>0.48299999999999998</v>
      </c>
      <c r="N12" s="1">
        <v>0.48799999999999999</v>
      </c>
      <c r="O12" s="2">
        <f>M12-K12</f>
        <v>0.18</v>
      </c>
      <c r="P12" s="2">
        <f>N12-L12</f>
        <v>0.19400000000000001</v>
      </c>
      <c r="Q12" s="2">
        <f>AVERAGE(O12,P12)</f>
        <v>0.187</v>
      </c>
      <c r="R12" s="2">
        <f>Q12/4.2427*I12/J12</f>
        <v>0.73459510846080722</v>
      </c>
      <c r="S12" s="2">
        <f>R12*H12</f>
        <v>0.36729755423040361</v>
      </c>
    </row>
    <row r="13" spans="1:19" x14ac:dyDescent="0.35">
      <c r="A13" s="2">
        <v>20230606</v>
      </c>
      <c r="B13" s="2" t="s">
        <v>18</v>
      </c>
      <c r="C13" s="2" t="s">
        <v>31</v>
      </c>
      <c r="D13" s="2" t="s">
        <v>21</v>
      </c>
      <c r="E13" s="2" t="s">
        <v>23</v>
      </c>
      <c r="F13" s="1">
        <v>1.8</v>
      </c>
      <c r="G13" s="1">
        <v>10</v>
      </c>
      <c r="H13" s="1">
        <v>0.5</v>
      </c>
      <c r="I13" s="1">
        <v>0.25</v>
      </c>
      <c r="J13" s="1">
        <v>1.4999999999999999E-2</v>
      </c>
      <c r="K13" s="1">
        <v>0.29199999999999998</v>
      </c>
      <c r="L13" s="1">
        <v>0.29499999999999998</v>
      </c>
      <c r="M13" s="1">
        <v>0.30499999999999999</v>
      </c>
      <c r="N13" s="1">
        <v>0.30399999999999999</v>
      </c>
      <c r="O13" s="2">
        <f>M13-K13</f>
        <v>1.3000000000000012E-2</v>
      </c>
      <c r="P13" s="2">
        <f>N13-L13</f>
        <v>9.000000000000008E-3</v>
      </c>
      <c r="Q13" s="2">
        <f>AVERAGE(O13,P13)</f>
        <v>1.100000000000001E-2</v>
      </c>
      <c r="R13" s="2">
        <f>Q13/4.2427*I13/J13</f>
        <v>4.3211476968282814E-2</v>
      </c>
      <c r="S13" s="2">
        <f>R13*H13</f>
        <v>2.1605738484141407E-2</v>
      </c>
    </row>
    <row r="14" spans="1:19" x14ac:dyDescent="0.35">
      <c r="A14" s="2">
        <v>20230606</v>
      </c>
      <c r="B14" s="2" t="s">
        <v>18</v>
      </c>
      <c r="C14" s="2" t="s">
        <v>32</v>
      </c>
      <c r="D14" s="2" t="s">
        <v>19</v>
      </c>
      <c r="E14" s="2" t="s">
        <v>23</v>
      </c>
      <c r="F14" s="1">
        <v>1.8</v>
      </c>
      <c r="G14" s="1">
        <v>10</v>
      </c>
      <c r="H14" s="1">
        <v>0.5</v>
      </c>
      <c r="I14" s="1">
        <v>0.25</v>
      </c>
      <c r="J14" s="1">
        <v>1.4999999999999999E-2</v>
      </c>
      <c r="K14" s="1">
        <v>0.29699999999999999</v>
      </c>
      <c r="L14" s="1">
        <v>0.29499999999999998</v>
      </c>
      <c r="M14" s="1">
        <v>0.30599999999999999</v>
      </c>
      <c r="N14" s="1">
        <v>0.311</v>
      </c>
      <c r="O14" s="2">
        <f>M14-K14</f>
        <v>9.000000000000008E-3</v>
      </c>
      <c r="P14" s="2">
        <f>N14-L14</f>
        <v>1.6000000000000014E-2</v>
      </c>
      <c r="Q14" s="2">
        <f>AVERAGE(O14,P14)</f>
        <v>1.2500000000000011E-2</v>
      </c>
      <c r="R14" s="2">
        <f>Q14/4.2427*I14/J14</f>
        <v>4.9103951100321383E-2</v>
      </c>
      <c r="S14" s="2">
        <f>R14*H14</f>
        <v>2.4551975550160691E-2</v>
      </c>
    </row>
    <row r="15" spans="1:19" x14ac:dyDescent="0.35">
      <c r="A15" s="2">
        <v>20230606</v>
      </c>
      <c r="B15" s="2" t="s">
        <v>18</v>
      </c>
      <c r="C15" s="2" t="s">
        <v>32</v>
      </c>
      <c r="D15" s="2" t="s">
        <v>20</v>
      </c>
      <c r="E15" s="2" t="s">
        <v>23</v>
      </c>
      <c r="F15" s="1">
        <v>1.8</v>
      </c>
      <c r="G15" s="1">
        <v>10</v>
      </c>
      <c r="H15" s="1">
        <v>0.5</v>
      </c>
      <c r="I15" s="1">
        <v>0.25</v>
      </c>
      <c r="J15" s="1">
        <v>1.4999999999999999E-2</v>
      </c>
      <c r="K15" s="1">
        <v>0.29299999999999998</v>
      </c>
      <c r="L15" s="1">
        <v>0.30099999999999999</v>
      </c>
      <c r="M15" s="1">
        <v>0.316</v>
      </c>
      <c r="N15" s="1">
        <v>0.32</v>
      </c>
      <c r="O15" s="2">
        <f>M15-K15</f>
        <v>2.300000000000002E-2</v>
      </c>
      <c r="P15" s="2">
        <f>N15-L15</f>
        <v>1.9000000000000017E-2</v>
      </c>
      <c r="Q15" s="2">
        <f>AVERAGE(O15,P15)</f>
        <v>2.1000000000000019E-2</v>
      </c>
      <c r="R15" s="2">
        <f>Q15/4.2427*I15/J15</f>
        <v>8.2494637848539915E-2</v>
      </c>
      <c r="S15" s="2">
        <f>R15*H15</f>
        <v>4.1247318924269957E-2</v>
      </c>
    </row>
    <row r="16" spans="1:19" x14ac:dyDescent="0.35">
      <c r="A16" s="2">
        <v>20230606</v>
      </c>
      <c r="B16" s="2" t="s">
        <v>18</v>
      </c>
      <c r="C16" s="2" t="s">
        <v>32</v>
      </c>
      <c r="D16" s="2" t="s">
        <v>21</v>
      </c>
      <c r="E16" s="2" t="s">
        <v>23</v>
      </c>
      <c r="F16" s="1">
        <v>1.8</v>
      </c>
      <c r="G16" s="1">
        <v>10</v>
      </c>
      <c r="H16" s="1">
        <v>0.5</v>
      </c>
      <c r="I16" s="1">
        <v>0.25</v>
      </c>
      <c r="J16" s="1">
        <v>1.4999999999999999E-2</v>
      </c>
      <c r="K16" s="1">
        <v>0.316</v>
      </c>
      <c r="L16" s="1">
        <v>0.29599999999999999</v>
      </c>
      <c r="M16" s="1">
        <v>0.33900000000000002</v>
      </c>
      <c r="N16" s="1">
        <v>0.32100000000000001</v>
      </c>
      <c r="O16" s="2">
        <f>M16-K16</f>
        <v>2.300000000000002E-2</v>
      </c>
      <c r="P16" s="2">
        <f>N16-L16</f>
        <v>2.5000000000000022E-2</v>
      </c>
      <c r="Q16" s="2">
        <f>AVERAGE(O16,P16)</f>
        <v>2.4000000000000021E-2</v>
      </c>
      <c r="R16" s="2">
        <f>Q16/4.2427*I16/J16</f>
        <v>9.4279586112617039E-2</v>
      </c>
      <c r="S16" s="2">
        <f>R16*H16</f>
        <v>4.713979305630852E-2</v>
      </c>
    </row>
    <row r="17" spans="1:19" x14ac:dyDescent="0.35">
      <c r="A17" s="2">
        <v>20230606</v>
      </c>
      <c r="B17" s="2" t="s">
        <v>18</v>
      </c>
      <c r="C17" s="2" t="s">
        <v>33</v>
      </c>
      <c r="D17" s="2" t="s">
        <v>19</v>
      </c>
      <c r="E17" s="2" t="s">
        <v>23</v>
      </c>
      <c r="F17" s="1">
        <v>1.8</v>
      </c>
      <c r="G17" s="1">
        <v>10</v>
      </c>
      <c r="H17" s="1">
        <v>0.5</v>
      </c>
      <c r="I17" s="1">
        <v>0.25</v>
      </c>
      <c r="J17" s="1">
        <v>1.4999999999999999E-2</v>
      </c>
      <c r="K17" s="1">
        <v>0.29299999999999998</v>
      </c>
      <c r="L17" s="1">
        <v>0.28699999999999998</v>
      </c>
      <c r="M17" s="1">
        <v>0.316</v>
      </c>
      <c r="N17" s="1">
        <v>0.309</v>
      </c>
      <c r="O17" s="2">
        <f>M17-K17</f>
        <v>2.300000000000002E-2</v>
      </c>
      <c r="P17" s="2">
        <f>N17-L17</f>
        <v>2.200000000000002E-2</v>
      </c>
      <c r="Q17" s="2">
        <f>AVERAGE(O17,P17)</f>
        <v>2.250000000000002E-2</v>
      </c>
      <c r="R17" s="2">
        <f>Q17/4.2427*I17/J17</f>
        <v>8.8387111980578484E-2</v>
      </c>
      <c r="S17" s="2">
        <f>R17*H17</f>
        <v>4.4193555990289242E-2</v>
      </c>
    </row>
    <row r="18" spans="1:19" x14ac:dyDescent="0.35">
      <c r="A18" s="2">
        <v>20230606</v>
      </c>
      <c r="B18" s="2" t="s">
        <v>18</v>
      </c>
      <c r="C18" s="2" t="s">
        <v>33</v>
      </c>
      <c r="D18" s="2" t="s">
        <v>20</v>
      </c>
      <c r="E18" s="2" t="s">
        <v>23</v>
      </c>
      <c r="F18" s="1">
        <v>1.8</v>
      </c>
      <c r="G18" s="1">
        <v>10</v>
      </c>
      <c r="H18" s="1">
        <v>0.5</v>
      </c>
      <c r="I18" s="1">
        <v>0.25</v>
      </c>
      <c r="J18" s="1">
        <v>1.4999999999999999E-2</v>
      </c>
      <c r="K18" s="1">
        <v>0.30099999999999999</v>
      </c>
      <c r="L18" s="1">
        <v>0.30199999999999999</v>
      </c>
      <c r="M18" s="1">
        <v>0.32400000000000001</v>
      </c>
      <c r="N18" s="1">
        <v>0.33100000000000002</v>
      </c>
      <c r="O18" s="2">
        <f>M18-K18</f>
        <v>2.300000000000002E-2</v>
      </c>
      <c r="P18" s="2">
        <f>N18-L18</f>
        <v>2.9000000000000026E-2</v>
      </c>
      <c r="Q18" s="2">
        <f>AVERAGE(O18,P18)</f>
        <v>2.6000000000000023E-2</v>
      </c>
      <c r="R18" s="2">
        <f>Q18/4.2427*I18/J18</f>
        <v>0.10213621828866848</v>
      </c>
      <c r="S18" s="2">
        <f>R18*H18</f>
        <v>5.1068109144334239E-2</v>
      </c>
    </row>
    <row r="19" spans="1:19" x14ac:dyDescent="0.35">
      <c r="A19" s="2">
        <v>20230606</v>
      </c>
      <c r="B19" s="2" t="s">
        <v>18</v>
      </c>
      <c r="C19" s="2" t="s">
        <v>33</v>
      </c>
      <c r="D19" s="2" t="s">
        <v>21</v>
      </c>
      <c r="E19" s="2" t="s">
        <v>23</v>
      </c>
      <c r="F19" s="1">
        <v>1.8</v>
      </c>
      <c r="G19" s="1">
        <v>10</v>
      </c>
      <c r="H19" s="1">
        <v>0.5</v>
      </c>
      <c r="I19" s="1">
        <v>0.25</v>
      </c>
      <c r="J19" s="1">
        <v>1.4999999999999999E-2</v>
      </c>
      <c r="K19" s="1">
        <v>0.318</v>
      </c>
      <c r="L19" s="1">
        <v>0.32200000000000001</v>
      </c>
      <c r="M19" s="1">
        <v>0.318</v>
      </c>
      <c r="N19" s="1">
        <v>0.35899999999999999</v>
      </c>
      <c r="O19" s="2">
        <f>M19-K19</f>
        <v>0</v>
      </c>
      <c r="P19" s="2">
        <f>N19-L19</f>
        <v>3.6999999999999977E-2</v>
      </c>
      <c r="Q19" s="2">
        <f>AVERAGE(O19,P19)</f>
        <v>1.8499999999999989E-2</v>
      </c>
      <c r="R19" s="2">
        <f>Q19/4.2427*I19/J19</f>
        <v>7.2673847628475535E-2</v>
      </c>
      <c r="S19" s="2">
        <f>R19*H19</f>
        <v>3.6336923814237768E-2</v>
      </c>
    </row>
    <row r="20" spans="1:19" s="6" customFormat="1" x14ac:dyDescent="0.35">
      <c r="A20" s="6">
        <v>20230606</v>
      </c>
      <c r="B20" s="6" t="s">
        <v>18</v>
      </c>
      <c r="C20" s="6" t="s">
        <v>34</v>
      </c>
      <c r="D20" s="6" t="s">
        <v>19</v>
      </c>
      <c r="E20" s="6" t="s">
        <v>23</v>
      </c>
      <c r="F20" s="7">
        <v>10</v>
      </c>
      <c r="I20" s="7">
        <v>0.25</v>
      </c>
      <c r="J20" s="7">
        <v>0.11</v>
      </c>
      <c r="K20" s="7">
        <v>0.32800000000000001</v>
      </c>
      <c r="L20" s="7">
        <v>0.32400000000000001</v>
      </c>
      <c r="M20" s="7">
        <v>0.621</v>
      </c>
      <c r="N20" s="7">
        <v>0.32100000000000001</v>
      </c>
      <c r="O20" s="6">
        <f>M20-K20</f>
        <v>0.29299999999999998</v>
      </c>
      <c r="P20" s="6">
        <f>N20-L20</f>
        <v>-3.0000000000000027E-3</v>
      </c>
      <c r="Q20" s="6">
        <f>AVERAGE(O20,P20)</f>
        <v>0.14499999999999999</v>
      </c>
      <c r="R20" s="6">
        <f>Q20/4.2427*I20/J20</f>
        <v>7.7673522649599189E-2</v>
      </c>
      <c r="S20" s="6">
        <f>R20*F20</f>
        <v>0.77673522649599192</v>
      </c>
    </row>
    <row r="21" spans="1:19" x14ac:dyDescent="0.35">
      <c r="A21" s="2">
        <v>20230606</v>
      </c>
      <c r="B21" s="2" t="s">
        <v>18</v>
      </c>
      <c r="C21" s="2" t="s">
        <v>34</v>
      </c>
      <c r="D21" s="2" t="s">
        <v>20</v>
      </c>
      <c r="E21" s="2" t="s">
        <v>23</v>
      </c>
      <c r="F21" s="1">
        <v>10</v>
      </c>
      <c r="I21" s="1">
        <v>0.25</v>
      </c>
      <c r="J21" s="1">
        <v>0.11</v>
      </c>
      <c r="K21" s="1">
        <v>0.35199999999999998</v>
      </c>
      <c r="L21" s="1">
        <v>0.35099999999999998</v>
      </c>
      <c r="M21" s="1">
        <v>0.58299999999999996</v>
      </c>
      <c r="N21" s="1">
        <v>0.57199999999999995</v>
      </c>
      <c r="O21" s="2">
        <f>M21-K21</f>
        <v>0.23099999999999998</v>
      </c>
      <c r="P21" s="2">
        <f>N21-L21</f>
        <v>0.22099999999999997</v>
      </c>
      <c r="Q21" s="2">
        <f>AVERAGE(O21,P21)</f>
        <v>0.22599999999999998</v>
      </c>
      <c r="R21" s="2">
        <f>Q21/4.2427*I21/J21</f>
        <v>0.12106355944006496</v>
      </c>
      <c r="S21" s="8">
        <f t="shared" ref="S21:S43" si="0">R21*F21</f>
        <v>1.2106355944006495</v>
      </c>
    </row>
    <row r="22" spans="1:19" x14ac:dyDescent="0.35">
      <c r="A22" s="2">
        <v>20230606</v>
      </c>
      <c r="B22" s="2" t="s">
        <v>18</v>
      </c>
      <c r="C22" s="2" t="s">
        <v>34</v>
      </c>
      <c r="D22" s="2" t="s">
        <v>21</v>
      </c>
      <c r="E22" s="2" t="s">
        <v>23</v>
      </c>
      <c r="F22" s="1">
        <v>10</v>
      </c>
      <c r="I22" s="1">
        <v>0.25</v>
      </c>
      <c r="J22" s="1">
        <v>0.11</v>
      </c>
      <c r="K22" s="1">
        <v>0.309</v>
      </c>
      <c r="L22" s="1">
        <v>0.31</v>
      </c>
      <c r="M22" s="1">
        <v>0.56699999999999995</v>
      </c>
      <c r="N22" s="1">
        <v>0.58199999999999996</v>
      </c>
      <c r="O22" s="2">
        <f>M22-K22</f>
        <v>0.25799999999999995</v>
      </c>
      <c r="P22" s="2">
        <f>N22-L22</f>
        <v>0.27199999999999996</v>
      </c>
      <c r="Q22" s="2">
        <f>AVERAGE(O22,P22)</f>
        <v>0.26499999999999996</v>
      </c>
      <c r="R22" s="2">
        <f>Q22/4.2427*I22/J22</f>
        <v>0.14195505863547439</v>
      </c>
      <c r="S22" s="8">
        <f t="shared" si="0"/>
        <v>1.419550586354744</v>
      </c>
    </row>
    <row r="23" spans="1:19" x14ac:dyDescent="0.35">
      <c r="A23" s="2">
        <v>20230606</v>
      </c>
      <c r="B23" s="2" t="s">
        <v>18</v>
      </c>
      <c r="C23" s="2" t="s">
        <v>35</v>
      </c>
      <c r="D23" s="2" t="s">
        <v>19</v>
      </c>
      <c r="E23" s="2" t="s">
        <v>23</v>
      </c>
      <c r="F23" s="1">
        <v>10</v>
      </c>
      <c r="I23" s="1">
        <v>0.25</v>
      </c>
      <c r="J23" s="1">
        <v>0.11</v>
      </c>
      <c r="K23" s="1">
        <v>0.40899999999999997</v>
      </c>
      <c r="L23" s="1">
        <v>0.41099999999999998</v>
      </c>
      <c r="M23" s="1">
        <v>1.1990000000000001</v>
      </c>
      <c r="N23" s="1">
        <v>1.2450000000000001</v>
      </c>
      <c r="O23" s="2">
        <f>M23-K23</f>
        <v>0.79</v>
      </c>
      <c r="P23" s="2">
        <f>N23-L23</f>
        <v>0.83400000000000007</v>
      </c>
      <c r="Q23" s="2">
        <f>AVERAGE(O23,P23)</f>
        <v>0.81200000000000006</v>
      </c>
      <c r="R23" s="2">
        <f>Q23/4.2427*I23/J23</f>
        <v>0.43497172683775553</v>
      </c>
      <c r="S23" s="8">
        <f t="shared" si="0"/>
        <v>4.3497172683775549</v>
      </c>
    </row>
    <row r="24" spans="1:19" x14ac:dyDescent="0.35">
      <c r="A24" s="2">
        <v>20230606</v>
      </c>
      <c r="B24" s="2" t="s">
        <v>18</v>
      </c>
      <c r="C24" s="2" t="s">
        <v>35</v>
      </c>
      <c r="D24" s="2" t="s">
        <v>20</v>
      </c>
      <c r="E24" s="2" t="s">
        <v>23</v>
      </c>
      <c r="F24" s="1">
        <v>10</v>
      </c>
      <c r="I24" s="1">
        <v>0.25</v>
      </c>
      <c r="J24" s="1">
        <v>0.11</v>
      </c>
      <c r="K24" s="1">
        <v>0.32900000000000001</v>
      </c>
      <c r="L24" s="1">
        <v>0.32600000000000001</v>
      </c>
      <c r="M24" s="1">
        <v>0.88600000000000001</v>
      </c>
      <c r="N24" s="1">
        <v>0.91200000000000003</v>
      </c>
      <c r="O24" s="2">
        <f>M24-K24</f>
        <v>0.55699999999999994</v>
      </c>
      <c r="P24" s="2">
        <f>N24-L24</f>
        <v>0.58600000000000008</v>
      </c>
      <c r="Q24" s="2">
        <f>AVERAGE(O24,P24)</f>
        <v>0.57150000000000001</v>
      </c>
      <c r="R24" s="2">
        <f>Q24/4.2427*I24/J24</f>
        <v>0.30614081513273061</v>
      </c>
      <c r="S24" s="8">
        <f t="shared" si="0"/>
        <v>3.0614081513273064</v>
      </c>
    </row>
    <row r="25" spans="1:19" x14ac:dyDescent="0.35">
      <c r="A25" s="2">
        <v>20230606</v>
      </c>
      <c r="B25" s="2" t="s">
        <v>18</v>
      </c>
      <c r="C25" s="2" t="s">
        <v>35</v>
      </c>
      <c r="D25" s="2" t="s">
        <v>21</v>
      </c>
      <c r="E25" s="2" t="s">
        <v>23</v>
      </c>
      <c r="F25" s="1">
        <v>10</v>
      </c>
      <c r="I25" s="1">
        <v>0.25</v>
      </c>
      <c r="J25" s="1">
        <v>0.11</v>
      </c>
      <c r="K25" s="1">
        <v>0.35499999999999998</v>
      </c>
      <c r="L25" s="1">
        <v>0.35599999999999998</v>
      </c>
      <c r="M25" s="1">
        <v>0.69899999999999995</v>
      </c>
      <c r="N25" s="1">
        <v>0.71</v>
      </c>
      <c r="O25" s="2">
        <f>M25-K25</f>
        <v>0.34399999999999997</v>
      </c>
      <c r="P25" s="2">
        <f>N25-L25</f>
        <v>0.35399999999999998</v>
      </c>
      <c r="Q25" s="2">
        <f>AVERAGE(O25,P25)</f>
        <v>0.34899999999999998</v>
      </c>
      <c r="R25" s="2">
        <f>Q25/4.2427*I25/J25</f>
        <v>0.18695213382558701</v>
      </c>
      <c r="S25" s="8">
        <f t="shared" si="0"/>
        <v>1.8695213382558702</v>
      </c>
    </row>
    <row r="26" spans="1:19" x14ac:dyDescent="0.35">
      <c r="A26" s="2">
        <v>20230606</v>
      </c>
      <c r="B26" s="2" t="s">
        <v>18</v>
      </c>
      <c r="C26" s="2" t="s">
        <v>36</v>
      </c>
      <c r="D26" s="2" t="s">
        <v>19</v>
      </c>
      <c r="E26" s="2" t="s">
        <v>23</v>
      </c>
      <c r="F26" s="1">
        <v>10</v>
      </c>
      <c r="I26" s="1">
        <v>0.25</v>
      </c>
      <c r="J26" s="1">
        <v>0.11</v>
      </c>
      <c r="K26" s="1">
        <v>0.311</v>
      </c>
      <c r="L26" s="1">
        <v>0.316</v>
      </c>
      <c r="M26" s="1">
        <v>0.67500000000000004</v>
      </c>
      <c r="N26" s="1">
        <v>0.69899999999999995</v>
      </c>
      <c r="O26" s="2">
        <f>M26-K26</f>
        <v>0.36400000000000005</v>
      </c>
      <c r="P26" s="2">
        <f>N26-L26</f>
        <v>0.38299999999999995</v>
      </c>
      <c r="Q26" s="2">
        <f>AVERAGE(O26,P26)</f>
        <v>0.3735</v>
      </c>
      <c r="R26" s="2">
        <f>Q26/4.2427*I26/J26</f>
        <v>0.20007628075603659</v>
      </c>
      <c r="S26" s="8">
        <f t="shared" si="0"/>
        <v>2.0007628075603661</v>
      </c>
    </row>
    <row r="27" spans="1:19" x14ac:dyDescent="0.35">
      <c r="A27" s="2">
        <v>20230606</v>
      </c>
      <c r="B27" s="2" t="s">
        <v>18</v>
      </c>
      <c r="C27" s="2" t="s">
        <v>36</v>
      </c>
      <c r="D27" s="2" t="s">
        <v>20</v>
      </c>
      <c r="E27" s="2" t="s">
        <v>23</v>
      </c>
      <c r="F27" s="1">
        <v>10</v>
      </c>
      <c r="I27" s="1">
        <v>0.25</v>
      </c>
      <c r="J27" s="1">
        <v>0.11</v>
      </c>
      <c r="K27" s="1">
        <v>0.32300000000000001</v>
      </c>
      <c r="L27" s="1">
        <v>0.32600000000000001</v>
      </c>
      <c r="M27" s="1">
        <v>0.59499999999999997</v>
      </c>
      <c r="N27" s="1">
        <v>0.52900000000000003</v>
      </c>
      <c r="O27" s="2">
        <f>M27-K27</f>
        <v>0.27199999999999996</v>
      </c>
      <c r="P27" s="2">
        <f>N27-L27</f>
        <v>0.20300000000000001</v>
      </c>
      <c r="Q27" s="2">
        <f>AVERAGE(O27,P27)</f>
        <v>0.23749999999999999</v>
      </c>
      <c r="R27" s="2">
        <f>Q27/4.2427*I27/J27</f>
        <v>0.12722387330537799</v>
      </c>
      <c r="S27" s="8">
        <f t="shared" si="0"/>
        <v>1.2722387330537799</v>
      </c>
    </row>
    <row r="28" spans="1:19" x14ac:dyDescent="0.35">
      <c r="A28" s="2">
        <v>20230606</v>
      </c>
      <c r="B28" s="2" t="s">
        <v>18</v>
      </c>
      <c r="C28" s="2" t="s">
        <v>36</v>
      </c>
      <c r="D28" s="2" t="s">
        <v>21</v>
      </c>
      <c r="E28" s="2" t="s">
        <v>23</v>
      </c>
      <c r="F28" s="1">
        <v>10</v>
      </c>
      <c r="I28" s="1">
        <v>0.25</v>
      </c>
      <c r="J28" s="1">
        <v>0.11</v>
      </c>
      <c r="K28" s="1">
        <v>0.28899999999999998</v>
      </c>
      <c r="L28" s="1">
        <v>0.29199999999999998</v>
      </c>
      <c r="M28" s="1">
        <v>0.54800000000000004</v>
      </c>
      <c r="N28" s="1">
        <v>0.52700000000000002</v>
      </c>
      <c r="O28" s="2">
        <f>M28-K28</f>
        <v>0.25900000000000006</v>
      </c>
      <c r="P28" s="2">
        <f>N28-L28</f>
        <v>0.23500000000000004</v>
      </c>
      <c r="Q28" s="2">
        <f>AVERAGE(O28,P28)</f>
        <v>0.24700000000000005</v>
      </c>
      <c r="R28" s="2">
        <f>Q28/4.2427*I28/J28</f>
        <v>0.13231282823759313</v>
      </c>
      <c r="S28" s="8">
        <f t="shared" si="0"/>
        <v>1.3231282823759314</v>
      </c>
    </row>
    <row r="29" spans="1:19" x14ac:dyDescent="0.35">
      <c r="A29" s="2">
        <v>20230606</v>
      </c>
      <c r="B29" s="2" t="s">
        <v>18</v>
      </c>
      <c r="C29" s="2" t="s">
        <v>37</v>
      </c>
      <c r="D29" s="2" t="s">
        <v>19</v>
      </c>
      <c r="E29" s="2" t="s">
        <v>23</v>
      </c>
      <c r="F29" s="1">
        <v>10</v>
      </c>
      <c r="I29" s="1">
        <v>0.25</v>
      </c>
      <c r="J29" s="1">
        <v>0.11</v>
      </c>
      <c r="K29" s="1">
        <v>0.33300000000000002</v>
      </c>
      <c r="L29" s="1">
        <v>0.33500000000000002</v>
      </c>
      <c r="M29" s="1">
        <v>0.73599999999999999</v>
      </c>
      <c r="N29" s="1">
        <v>0.73899999999999999</v>
      </c>
      <c r="O29" s="2">
        <f>M29-K29</f>
        <v>0.40299999999999997</v>
      </c>
      <c r="P29" s="2">
        <f>N29-L29</f>
        <v>0.40399999999999997</v>
      </c>
      <c r="Q29" s="2">
        <f>AVERAGE(O29,P29)</f>
        <v>0.40349999999999997</v>
      </c>
      <c r="R29" s="2">
        <f>Q29/4.2427*I29/J29</f>
        <v>0.21614666475250535</v>
      </c>
      <c r="S29" s="8">
        <f t="shared" si="0"/>
        <v>2.1614666475250535</v>
      </c>
    </row>
    <row r="30" spans="1:19" x14ac:dyDescent="0.35">
      <c r="A30" s="2">
        <v>20230606</v>
      </c>
      <c r="B30" s="2" t="s">
        <v>18</v>
      </c>
      <c r="C30" s="2" t="s">
        <v>37</v>
      </c>
      <c r="D30" s="2" t="s">
        <v>20</v>
      </c>
      <c r="E30" s="2" t="s">
        <v>23</v>
      </c>
      <c r="F30" s="1">
        <v>10</v>
      </c>
      <c r="I30" s="1">
        <v>0.25</v>
      </c>
      <c r="J30" s="1">
        <v>0.11</v>
      </c>
      <c r="K30" s="1">
        <v>0.30399999999999999</v>
      </c>
      <c r="L30" s="1">
        <v>0.30399999999999999</v>
      </c>
      <c r="M30" s="1">
        <v>0.50600000000000001</v>
      </c>
      <c r="N30" s="1">
        <v>0.47899999999999998</v>
      </c>
      <c r="O30" s="2">
        <f>M30-K30</f>
        <v>0.20200000000000001</v>
      </c>
      <c r="P30" s="2">
        <f>N30-L30</f>
        <v>0.17499999999999999</v>
      </c>
      <c r="Q30" s="2">
        <f>AVERAGE(O30,P30)</f>
        <v>0.1885</v>
      </c>
      <c r="R30" s="2">
        <f>Q30/4.2427*I30/J30</f>
        <v>0.10097557944447896</v>
      </c>
      <c r="S30" s="8">
        <f t="shared" si="0"/>
        <v>1.0097557944447897</v>
      </c>
    </row>
    <row r="31" spans="1:19" x14ac:dyDescent="0.35">
      <c r="A31" s="2">
        <v>20230606</v>
      </c>
      <c r="B31" s="2" t="s">
        <v>18</v>
      </c>
      <c r="C31" s="2" t="s">
        <v>37</v>
      </c>
      <c r="D31" s="2" t="s">
        <v>21</v>
      </c>
      <c r="E31" s="2" t="s">
        <v>23</v>
      </c>
      <c r="F31" s="1">
        <v>10</v>
      </c>
      <c r="I31" s="1">
        <v>0.25</v>
      </c>
      <c r="J31" s="1">
        <v>0.11</v>
      </c>
      <c r="K31" s="1">
        <v>0.32700000000000001</v>
      </c>
      <c r="L31" s="1">
        <v>0.33900000000000002</v>
      </c>
      <c r="M31" s="1">
        <v>0.623</v>
      </c>
      <c r="N31" s="1">
        <v>0.63900000000000001</v>
      </c>
      <c r="O31" s="2">
        <f>M31-K31</f>
        <v>0.29599999999999999</v>
      </c>
      <c r="P31" s="2">
        <f>N31-L31</f>
        <v>0.3</v>
      </c>
      <c r="Q31" s="2">
        <f>AVERAGE(O31,P31)</f>
        <v>0.29799999999999999</v>
      </c>
      <c r="R31" s="2">
        <f>Q31/4.2427*I31/J31</f>
        <v>0.15963248103159008</v>
      </c>
      <c r="S31" s="8">
        <f t="shared" si="0"/>
        <v>1.5963248103159009</v>
      </c>
    </row>
    <row r="32" spans="1:19" x14ac:dyDescent="0.35">
      <c r="A32" s="2">
        <v>20230606</v>
      </c>
      <c r="B32" s="2" t="s">
        <v>18</v>
      </c>
      <c r="C32" s="2" t="s">
        <v>38</v>
      </c>
      <c r="D32" s="2" t="s">
        <v>19</v>
      </c>
      <c r="E32" s="2" t="s">
        <v>23</v>
      </c>
      <c r="F32" s="1">
        <v>10</v>
      </c>
      <c r="I32" s="1">
        <v>0.25</v>
      </c>
      <c r="J32" s="1">
        <v>0.11</v>
      </c>
      <c r="K32" s="1">
        <v>0.34499999999999997</v>
      </c>
      <c r="L32" s="1">
        <v>0.36899999999999999</v>
      </c>
      <c r="M32" s="1">
        <v>0.68600000000000005</v>
      </c>
      <c r="N32" s="1">
        <v>0.85799999999999998</v>
      </c>
      <c r="O32" s="2">
        <f>M32-K32</f>
        <v>0.34100000000000008</v>
      </c>
      <c r="P32" s="2">
        <f>N32-L32</f>
        <v>0.48899999999999999</v>
      </c>
      <c r="Q32" s="2">
        <f>AVERAGE(O32,P32)</f>
        <v>0.41500000000000004</v>
      </c>
      <c r="R32" s="2">
        <f>Q32/4.2427*I32/J32</f>
        <v>0.22230697861781842</v>
      </c>
      <c r="S32" s="8">
        <f t="shared" si="0"/>
        <v>2.2230697861781841</v>
      </c>
    </row>
    <row r="33" spans="1:19" x14ac:dyDescent="0.35">
      <c r="A33" s="2">
        <v>20230606</v>
      </c>
      <c r="B33" s="2" t="s">
        <v>18</v>
      </c>
      <c r="C33" s="2" t="s">
        <v>38</v>
      </c>
      <c r="D33" s="2" t="s">
        <v>20</v>
      </c>
      <c r="E33" s="2" t="s">
        <v>23</v>
      </c>
      <c r="F33" s="1">
        <v>10</v>
      </c>
      <c r="I33" s="1">
        <v>0.25</v>
      </c>
      <c r="J33" s="1">
        <v>0.11</v>
      </c>
      <c r="K33" s="1">
        <v>0.51400000000000001</v>
      </c>
      <c r="L33" s="1">
        <v>0.33600000000000002</v>
      </c>
      <c r="M33" s="1">
        <v>1.173</v>
      </c>
      <c r="N33" s="1">
        <v>0.64500000000000002</v>
      </c>
      <c r="O33" s="2">
        <f>M33-K33</f>
        <v>0.65900000000000003</v>
      </c>
      <c r="P33" s="2">
        <f>N33-L33</f>
        <v>0.309</v>
      </c>
      <c r="Q33" s="2">
        <f>AVERAGE(O33,P33)</f>
        <v>0.48399999999999999</v>
      </c>
      <c r="R33" s="2">
        <f>Q33/4.2427*I33/J33</f>
        <v>0.25926886180969666</v>
      </c>
      <c r="S33" s="8">
        <f t="shared" si="0"/>
        <v>2.5926886180969664</v>
      </c>
    </row>
    <row r="34" spans="1:19" x14ac:dyDescent="0.35">
      <c r="A34" s="2">
        <v>20230606</v>
      </c>
      <c r="B34" s="2" t="s">
        <v>18</v>
      </c>
      <c r="C34" s="2" t="s">
        <v>38</v>
      </c>
      <c r="D34" s="2" t="s">
        <v>21</v>
      </c>
      <c r="E34" s="2" t="s">
        <v>23</v>
      </c>
      <c r="F34" s="1">
        <v>10</v>
      </c>
      <c r="I34" s="1">
        <v>0.25</v>
      </c>
      <c r="J34" s="1">
        <v>0.11</v>
      </c>
      <c r="K34" s="1">
        <v>0.32200000000000001</v>
      </c>
      <c r="L34" s="1">
        <v>0.34</v>
      </c>
      <c r="M34" s="1">
        <v>0.65600000000000003</v>
      </c>
      <c r="N34" s="1">
        <v>0.91600000000000004</v>
      </c>
      <c r="O34" s="2">
        <f>M34-K34</f>
        <v>0.33400000000000002</v>
      </c>
      <c r="P34" s="2">
        <f>N34-L34</f>
        <v>0.57600000000000007</v>
      </c>
      <c r="Q34" s="2">
        <f>AVERAGE(O34,P34)</f>
        <v>0.45500000000000007</v>
      </c>
      <c r="R34" s="2">
        <f>Q34/4.2427*I34/J34</f>
        <v>0.24373415727977685</v>
      </c>
      <c r="S34" s="8">
        <f t="shared" si="0"/>
        <v>2.4373415727977683</v>
      </c>
    </row>
    <row r="35" spans="1:19" x14ac:dyDescent="0.35">
      <c r="A35" s="2">
        <v>20230606</v>
      </c>
      <c r="B35" s="2" t="s">
        <v>18</v>
      </c>
      <c r="C35" s="2" t="s">
        <v>39</v>
      </c>
      <c r="D35" s="2" t="s">
        <v>19</v>
      </c>
      <c r="E35" s="2" t="s">
        <v>23</v>
      </c>
      <c r="F35" s="1">
        <v>10</v>
      </c>
      <c r="I35" s="1">
        <v>0.25</v>
      </c>
      <c r="J35" s="1">
        <v>0.11</v>
      </c>
      <c r="K35" s="1">
        <v>0.34300000000000003</v>
      </c>
      <c r="L35" s="1">
        <v>0.28000000000000003</v>
      </c>
      <c r="M35" s="1">
        <v>0.92600000000000005</v>
      </c>
      <c r="N35" s="1">
        <v>0.71299999999999997</v>
      </c>
      <c r="O35" s="2">
        <f>M35-K35</f>
        <v>0.58299999999999996</v>
      </c>
      <c r="P35" s="2">
        <f>N35-L35</f>
        <v>0.43299999999999994</v>
      </c>
      <c r="Q35" s="2">
        <f>AVERAGE(O35,P35)</f>
        <v>0.50800000000000001</v>
      </c>
      <c r="R35" s="2">
        <f>Q35/4.2427*I35/J35</f>
        <v>0.27212516900687167</v>
      </c>
      <c r="S35" s="8">
        <f t="shared" si="0"/>
        <v>2.7212516900687165</v>
      </c>
    </row>
    <row r="36" spans="1:19" x14ac:dyDescent="0.35">
      <c r="A36" s="2">
        <v>20230606</v>
      </c>
      <c r="B36" s="2" t="s">
        <v>18</v>
      </c>
      <c r="C36" s="2" t="s">
        <v>39</v>
      </c>
      <c r="D36" s="2" t="s">
        <v>20</v>
      </c>
      <c r="E36" s="2" t="s">
        <v>23</v>
      </c>
      <c r="F36" s="1">
        <v>10</v>
      </c>
      <c r="I36" s="1">
        <v>0.25</v>
      </c>
      <c r="J36" s="1">
        <v>0.11</v>
      </c>
      <c r="K36" s="1">
        <v>0.28699999999999998</v>
      </c>
      <c r="L36" s="1">
        <v>0.26500000000000001</v>
      </c>
      <c r="M36" s="1">
        <v>0.48399999999999999</v>
      </c>
      <c r="N36" s="1">
        <v>0.48099999999999998</v>
      </c>
      <c r="O36" s="2">
        <f>M36-K36</f>
        <v>0.19700000000000001</v>
      </c>
      <c r="P36" s="2">
        <f>N36-L36</f>
        <v>0.21599999999999997</v>
      </c>
      <c r="Q36" s="2">
        <f>AVERAGE(O36,P36)</f>
        <v>0.20649999999999999</v>
      </c>
      <c r="R36" s="2">
        <f>Q36/4.2427*I36/J36</f>
        <v>0.11061780984236023</v>
      </c>
      <c r="S36" s="8">
        <f t="shared" si="0"/>
        <v>1.1061780984236023</v>
      </c>
    </row>
    <row r="37" spans="1:19" x14ac:dyDescent="0.35">
      <c r="A37" s="2">
        <v>20230606</v>
      </c>
      <c r="B37" s="2" t="s">
        <v>18</v>
      </c>
      <c r="C37" s="2" t="s">
        <v>39</v>
      </c>
      <c r="D37" s="2" t="s">
        <v>21</v>
      </c>
      <c r="E37" s="2" t="s">
        <v>23</v>
      </c>
      <c r="F37" s="1">
        <v>10</v>
      </c>
      <c r="I37" s="1">
        <v>0.25</v>
      </c>
      <c r="J37" s="1">
        <v>0.11</v>
      </c>
      <c r="K37" s="1">
        <v>0.29599999999999999</v>
      </c>
      <c r="L37" s="1">
        <v>0.27200000000000002</v>
      </c>
      <c r="M37" s="1">
        <v>0.54</v>
      </c>
      <c r="N37" s="1">
        <v>0.40300000000000002</v>
      </c>
      <c r="O37" s="2">
        <f>M37-K37</f>
        <v>0.24400000000000005</v>
      </c>
      <c r="P37" s="2">
        <f>N37-L37</f>
        <v>0.13100000000000001</v>
      </c>
      <c r="Q37" s="2">
        <f>AVERAGE(O37,P37)</f>
        <v>0.18750000000000003</v>
      </c>
      <c r="R37" s="2">
        <f>Q37/4.2427*I37/J37</f>
        <v>0.10043989997793001</v>
      </c>
      <c r="S37" s="8">
        <f t="shared" si="0"/>
        <v>1.0043989997793001</v>
      </c>
    </row>
    <row r="38" spans="1:19" x14ac:dyDescent="0.35">
      <c r="A38" s="2">
        <v>20230606</v>
      </c>
      <c r="B38" s="2" t="s">
        <v>18</v>
      </c>
      <c r="C38" s="2" t="s">
        <v>47</v>
      </c>
      <c r="D38" s="2" t="s">
        <v>19</v>
      </c>
      <c r="E38" s="2" t="s">
        <v>23</v>
      </c>
      <c r="F38" s="1">
        <v>10</v>
      </c>
      <c r="I38" s="1">
        <v>0.25</v>
      </c>
      <c r="J38" s="1">
        <v>0.11</v>
      </c>
      <c r="K38" s="1">
        <v>0.33100000000000002</v>
      </c>
      <c r="L38" s="1">
        <v>0.28799999999999998</v>
      </c>
      <c r="M38" s="1">
        <v>0.54700000000000004</v>
      </c>
      <c r="N38" s="1">
        <v>0.48799999999999999</v>
      </c>
      <c r="O38" s="2">
        <f>M38-K38</f>
        <v>0.21600000000000003</v>
      </c>
      <c r="P38" s="2">
        <f>N38-L38</f>
        <v>0.2</v>
      </c>
      <c r="Q38" s="2">
        <f>AVERAGE(O38,P38)</f>
        <v>0.20800000000000002</v>
      </c>
      <c r="R38" s="2">
        <f>Q38/4.2427*I38/J38</f>
        <v>0.11142132904218369</v>
      </c>
      <c r="S38" s="8">
        <f t="shared" si="0"/>
        <v>1.1142132904218369</v>
      </c>
    </row>
    <row r="39" spans="1:19" x14ac:dyDescent="0.35">
      <c r="A39" s="2">
        <v>20230606</v>
      </c>
      <c r="B39" s="2" t="s">
        <v>18</v>
      </c>
      <c r="C39" s="2" t="s">
        <v>48</v>
      </c>
      <c r="D39" s="2" t="s">
        <v>19</v>
      </c>
      <c r="E39" s="2" t="s">
        <v>23</v>
      </c>
      <c r="F39" s="1">
        <v>10</v>
      </c>
      <c r="I39" s="1">
        <v>0.25</v>
      </c>
      <c r="J39" s="1">
        <v>0.11</v>
      </c>
      <c r="K39" s="1">
        <v>0.33700000000000002</v>
      </c>
      <c r="L39" s="1">
        <v>0.33300000000000002</v>
      </c>
      <c r="M39" s="1">
        <v>0.624</v>
      </c>
      <c r="N39" s="1">
        <v>0.66900000000000004</v>
      </c>
      <c r="O39" s="2">
        <f>M39-K39</f>
        <v>0.28699999999999998</v>
      </c>
      <c r="P39" s="2">
        <f>N39-L39</f>
        <v>0.33600000000000002</v>
      </c>
      <c r="Q39" s="2">
        <f>AVERAGE(O39,P39)</f>
        <v>0.3115</v>
      </c>
      <c r="R39" s="2">
        <f>Q39/4.2427*I39/J39</f>
        <v>0.16686415383000103</v>
      </c>
      <c r="S39" s="8">
        <f t="shared" si="0"/>
        <v>1.6686415383000104</v>
      </c>
    </row>
    <row r="40" spans="1:19" x14ac:dyDescent="0.35">
      <c r="A40" s="2">
        <v>20230606</v>
      </c>
      <c r="B40" s="2" t="s">
        <v>18</v>
      </c>
      <c r="C40" s="2" t="s">
        <v>49</v>
      </c>
      <c r="D40" s="2" t="s">
        <v>19</v>
      </c>
      <c r="E40" s="2" t="s">
        <v>23</v>
      </c>
      <c r="F40" s="1">
        <v>10</v>
      </c>
      <c r="I40" s="1">
        <v>0.25</v>
      </c>
      <c r="J40" s="1">
        <v>0.11</v>
      </c>
      <c r="K40" s="1">
        <v>0.318</v>
      </c>
      <c r="L40" s="1">
        <v>0.28199999999999997</v>
      </c>
      <c r="M40" s="1">
        <v>0.43099999999999999</v>
      </c>
      <c r="N40" s="1">
        <v>0.4</v>
      </c>
      <c r="O40" s="2">
        <f>M40-K40</f>
        <v>0.11299999999999999</v>
      </c>
      <c r="P40" s="2">
        <f>N40-L40</f>
        <v>0.11800000000000005</v>
      </c>
      <c r="Q40" s="2">
        <f>AVERAGE(O40,P40)</f>
        <v>0.11550000000000002</v>
      </c>
      <c r="R40" s="2">
        <f>Q40/4.2427*I40/J40</f>
        <v>6.1870978386404894E-2</v>
      </c>
      <c r="S40" s="8">
        <f t="shared" si="0"/>
        <v>0.61870978386404896</v>
      </c>
    </row>
    <row r="41" spans="1:19" x14ac:dyDescent="0.35">
      <c r="A41" s="2">
        <v>20230606</v>
      </c>
      <c r="B41" s="2" t="s">
        <v>18</v>
      </c>
      <c r="C41" s="2" t="s">
        <v>50</v>
      </c>
      <c r="D41" s="2" t="s">
        <v>19</v>
      </c>
      <c r="E41" s="2" t="s">
        <v>23</v>
      </c>
      <c r="F41" s="1">
        <v>10</v>
      </c>
      <c r="I41" s="1">
        <v>0.25</v>
      </c>
      <c r="J41" s="1">
        <v>0.11</v>
      </c>
      <c r="K41" s="1">
        <v>0.28199999999999997</v>
      </c>
      <c r="L41" s="1">
        <v>0.28299999999999997</v>
      </c>
      <c r="M41" s="1">
        <v>0.46300000000000002</v>
      </c>
      <c r="N41" s="1">
        <v>0.45100000000000001</v>
      </c>
      <c r="O41" s="2">
        <f>M41-K41</f>
        <v>0.18100000000000005</v>
      </c>
      <c r="P41" s="2">
        <f>N41-L41</f>
        <v>0.16800000000000004</v>
      </c>
      <c r="Q41" s="2">
        <f>AVERAGE(O41,P41)</f>
        <v>0.17450000000000004</v>
      </c>
      <c r="R41" s="2">
        <f>Q41/4.2427*I41/J41</f>
        <v>9.3476066912793546E-2</v>
      </c>
      <c r="S41" s="8">
        <f t="shared" si="0"/>
        <v>0.93476066912793543</v>
      </c>
    </row>
    <row r="42" spans="1:19" x14ac:dyDescent="0.35">
      <c r="A42" s="2">
        <v>20230606</v>
      </c>
      <c r="B42" s="2" t="s">
        <v>18</v>
      </c>
      <c r="C42" s="2" t="s">
        <v>51</v>
      </c>
      <c r="D42" s="2" t="s">
        <v>19</v>
      </c>
      <c r="E42" s="2" t="s">
        <v>23</v>
      </c>
      <c r="F42" s="1">
        <v>10</v>
      </c>
      <c r="I42" s="1">
        <v>0.25</v>
      </c>
      <c r="J42" s="1">
        <v>0.11</v>
      </c>
      <c r="K42" s="1">
        <v>0.27200000000000002</v>
      </c>
      <c r="L42" s="1">
        <v>0.27</v>
      </c>
      <c r="M42" s="1">
        <v>0.35499999999999998</v>
      </c>
      <c r="N42" s="1">
        <v>0.36</v>
      </c>
      <c r="O42" s="2">
        <f>M42-K42</f>
        <v>8.2999999999999963E-2</v>
      </c>
      <c r="P42" s="2">
        <f>N42-L42</f>
        <v>8.9999999999999969E-2</v>
      </c>
      <c r="Q42" s="2">
        <f>AVERAGE(O42,P42)</f>
        <v>8.6499999999999966E-2</v>
      </c>
      <c r="R42" s="2">
        <f>Q42/4.2427*I42/J42</f>
        <v>4.6336273856485019E-2</v>
      </c>
      <c r="S42" s="8">
        <f t="shared" si="0"/>
        <v>0.46336273856485022</v>
      </c>
    </row>
    <row r="43" spans="1:19" x14ac:dyDescent="0.35">
      <c r="A43" s="2">
        <v>20230606</v>
      </c>
      <c r="B43" s="2" t="s">
        <v>18</v>
      </c>
      <c r="C43" s="2" t="s">
        <v>52</v>
      </c>
      <c r="D43" s="2" t="s">
        <v>19</v>
      </c>
      <c r="E43" s="2" t="s">
        <v>23</v>
      </c>
      <c r="F43" s="1">
        <v>10</v>
      </c>
      <c r="I43" s="1">
        <v>0.25</v>
      </c>
      <c r="J43" s="1">
        <v>0.11</v>
      </c>
      <c r="K43" s="1">
        <v>0.29499999999999998</v>
      </c>
      <c r="L43" s="1">
        <v>0.28599999999999998</v>
      </c>
      <c r="M43" s="1">
        <v>0.55400000000000005</v>
      </c>
      <c r="N43" s="1">
        <v>0.45700000000000002</v>
      </c>
      <c r="O43" s="2">
        <f>M43-K43</f>
        <v>0.25900000000000006</v>
      </c>
      <c r="P43" s="2">
        <f>N43-L43</f>
        <v>0.17100000000000004</v>
      </c>
      <c r="Q43" s="2">
        <f>AVERAGE(O43,P43)</f>
        <v>0.21500000000000005</v>
      </c>
      <c r="R43" s="2">
        <f>Q43/4.2427*I43/J43</f>
        <v>0.11517108530802643</v>
      </c>
      <c r="S43" s="8">
        <f t="shared" si="0"/>
        <v>1.1517108530802642</v>
      </c>
    </row>
    <row r="65" spans="11:14" x14ac:dyDescent="0.35">
      <c r="K65" s="1"/>
      <c r="L65" s="1"/>
      <c r="M65" s="1"/>
      <c r="N65" s="1"/>
    </row>
    <row r="66" spans="11:14" x14ac:dyDescent="0.35">
      <c r="K66" s="1"/>
      <c r="L66" s="1"/>
      <c r="M66" s="1"/>
      <c r="N6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AA83-0AA2-4DB2-836F-964B70A4C585}">
  <dimension ref="A1:S45"/>
  <sheetViews>
    <sheetView workbookViewId="0">
      <selection activeCell="U40" sqref="U40"/>
    </sheetView>
  </sheetViews>
  <sheetFormatPr defaultRowHeight="14.5" x14ac:dyDescent="0.35"/>
  <sheetData>
    <row r="1" spans="1:19" s="5" customFormat="1" ht="15.5" x14ac:dyDescent="0.35">
      <c r="A1" s="3" t="s">
        <v>15</v>
      </c>
      <c r="B1" s="3" t="s">
        <v>16</v>
      </c>
      <c r="C1" s="4" t="s">
        <v>0</v>
      </c>
      <c r="D1" s="3" t="s">
        <v>17</v>
      </c>
      <c r="E1" s="3" t="s">
        <v>22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14</v>
      </c>
      <c r="S1" s="4"/>
    </row>
    <row r="2" spans="1:19" s="2" customFormat="1" x14ac:dyDescent="0.35">
      <c r="A2" s="2">
        <v>20230606</v>
      </c>
      <c r="B2" s="2" t="s">
        <v>18</v>
      </c>
      <c r="C2" s="2" t="s">
        <v>40</v>
      </c>
      <c r="D2" s="2" t="s">
        <v>19</v>
      </c>
      <c r="E2" s="2" t="s">
        <v>24</v>
      </c>
      <c r="F2" s="1">
        <v>1.8</v>
      </c>
      <c r="G2" s="1">
        <v>10</v>
      </c>
      <c r="H2" s="1">
        <v>0.5</v>
      </c>
      <c r="I2" s="1">
        <v>0.25</v>
      </c>
      <c r="J2" s="1">
        <v>1.4999999999999999E-2</v>
      </c>
      <c r="K2" s="1">
        <v>0.31</v>
      </c>
      <c r="L2" s="1">
        <v>0.32</v>
      </c>
      <c r="M2" s="1">
        <v>0.318</v>
      </c>
      <c r="N2" s="1">
        <v>0.32</v>
      </c>
      <c r="O2" s="2">
        <f>M2-K2</f>
        <v>8.0000000000000071E-3</v>
      </c>
      <c r="P2" s="2">
        <f>N2-L2</f>
        <v>0</v>
      </c>
      <c r="Q2" s="2">
        <f>AVERAGE(O2,P2)</f>
        <v>4.0000000000000036E-3</v>
      </c>
      <c r="R2" s="2">
        <f>Q2/4.2427*I2/J2</f>
        <v>1.5713264352102841E-2</v>
      </c>
      <c r="S2" s="2">
        <f>R2*H2</f>
        <v>7.8566321760514205E-3</v>
      </c>
    </row>
    <row r="3" spans="1:19" s="2" customFormat="1" x14ac:dyDescent="0.35">
      <c r="A3" s="2">
        <v>20230606</v>
      </c>
      <c r="B3" s="2" t="s">
        <v>18</v>
      </c>
      <c r="C3" s="2" t="s">
        <v>29</v>
      </c>
      <c r="D3" s="2" t="s">
        <v>19</v>
      </c>
      <c r="E3" s="2" t="s">
        <v>24</v>
      </c>
      <c r="F3" s="1">
        <v>1.8</v>
      </c>
      <c r="G3" s="1">
        <v>10</v>
      </c>
      <c r="H3" s="1">
        <v>0.5</v>
      </c>
      <c r="I3" s="1">
        <v>0.25</v>
      </c>
      <c r="J3" s="1">
        <v>1.4999999999999999E-2</v>
      </c>
      <c r="K3" s="1">
        <v>0.312</v>
      </c>
      <c r="L3" s="1">
        <v>0.311</v>
      </c>
      <c r="M3" s="1">
        <v>0.316</v>
      </c>
      <c r="N3" s="1">
        <v>0.32</v>
      </c>
      <c r="O3" s="2">
        <f>M3-K3</f>
        <v>4.0000000000000036E-3</v>
      </c>
      <c r="P3" s="2">
        <f>N3-L3</f>
        <v>9.000000000000008E-3</v>
      </c>
      <c r="Q3" s="2">
        <f>AVERAGE(O3,P3)</f>
        <v>6.5000000000000058E-3</v>
      </c>
      <c r="R3" s="2">
        <f>Q3/4.2427*I3/J3</f>
        <v>2.553405457216712E-2</v>
      </c>
      <c r="S3" s="2">
        <f>R3*H3</f>
        <v>1.276702728608356E-2</v>
      </c>
    </row>
    <row r="4" spans="1:19" s="2" customFormat="1" x14ac:dyDescent="0.35">
      <c r="A4" s="2">
        <v>20230606</v>
      </c>
      <c r="B4" s="2" t="s">
        <v>18</v>
      </c>
      <c r="C4" s="2" t="s">
        <v>30</v>
      </c>
      <c r="D4" s="2" t="s">
        <v>19</v>
      </c>
      <c r="E4" s="2" t="s">
        <v>24</v>
      </c>
      <c r="F4" s="1">
        <v>1.8</v>
      </c>
      <c r="G4" s="1">
        <v>10</v>
      </c>
      <c r="H4" s="1">
        <v>0.5</v>
      </c>
      <c r="I4" s="1">
        <v>0.25</v>
      </c>
      <c r="J4" s="1">
        <v>1.4999999999999999E-2</v>
      </c>
      <c r="K4" s="1">
        <v>0.313</v>
      </c>
      <c r="L4" s="1">
        <v>0.311</v>
      </c>
      <c r="M4" s="1">
        <v>0.33300000000000002</v>
      </c>
      <c r="N4" s="1">
        <v>0.33</v>
      </c>
      <c r="O4" s="2">
        <f>M4-K4</f>
        <v>2.0000000000000018E-2</v>
      </c>
      <c r="P4" s="2">
        <f>N4-L4</f>
        <v>1.9000000000000017E-2</v>
      </c>
      <c r="Q4" s="2">
        <f>AVERAGE(O4,P4)</f>
        <v>1.9500000000000017E-2</v>
      </c>
      <c r="R4" s="2">
        <f>Q4/4.2427*I4/J4</f>
        <v>7.6602163716501345E-2</v>
      </c>
      <c r="S4" s="2">
        <f>R4*H4</f>
        <v>3.8301081858250673E-2</v>
      </c>
    </row>
    <row r="5" spans="1:19" s="2" customFormat="1" x14ac:dyDescent="0.35">
      <c r="A5" s="2">
        <v>20230606</v>
      </c>
      <c r="B5" s="2" t="s">
        <v>18</v>
      </c>
      <c r="C5" s="2" t="s">
        <v>31</v>
      </c>
      <c r="D5" s="2" t="s">
        <v>19</v>
      </c>
      <c r="E5" s="2" t="s">
        <v>24</v>
      </c>
      <c r="F5" s="1">
        <v>1.8</v>
      </c>
      <c r="G5" s="1">
        <v>10</v>
      </c>
      <c r="H5" s="1">
        <v>0.5</v>
      </c>
      <c r="I5" s="1">
        <v>0.25</v>
      </c>
      <c r="J5" s="1">
        <v>1.4999999999999999E-2</v>
      </c>
      <c r="K5" s="1">
        <v>0.33500000000000002</v>
      </c>
      <c r="L5" s="1">
        <v>0.34</v>
      </c>
      <c r="M5" s="1">
        <v>0.33400000000000002</v>
      </c>
      <c r="N5" s="1">
        <v>0.33700000000000002</v>
      </c>
      <c r="O5" s="2">
        <f>M5-K5</f>
        <v>-1.0000000000000009E-3</v>
      </c>
      <c r="P5" s="2">
        <f>N5-L5</f>
        <v>-3.0000000000000027E-3</v>
      </c>
      <c r="Q5" s="2">
        <f>AVERAGE(O5,P5)</f>
        <v>-2.0000000000000018E-3</v>
      </c>
      <c r="R5" s="2">
        <f>Q5/4.2427*I5/J5</f>
        <v>-7.8566321760514205E-3</v>
      </c>
      <c r="S5" s="2">
        <f>R5*H5</f>
        <v>-3.9283160880257103E-3</v>
      </c>
    </row>
    <row r="6" spans="1:19" s="2" customFormat="1" x14ac:dyDescent="0.35">
      <c r="A6" s="2">
        <v>20230606</v>
      </c>
      <c r="B6" s="2" t="s">
        <v>18</v>
      </c>
      <c r="C6" s="2" t="s">
        <v>32</v>
      </c>
      <c r="D6" s="2" t="s">
        <v>19</v>
      </c>
      <c r="E6" s="2" t="s">
        <v>24</v>
      </c>
      <c r="F6" s="1">
        <v>1.8</v>
      </c>
      <c r="G6" s="1">
        <v>10</v>
      </c>
      <c r="H6" s="1">
        <v>0.5</v>
      </c>
      <c r="I6" s="1">
        <v>0.25</v>
      </c>
      <c r="J6" s="1">
        <v>1.4999999999999999E-2</v>
      </c>
      <c r="K6" s="1">
        <v>0.34899999999999998</v>
      </c>
      <c r="L6" s="1">
        <v>0.35099999999999998</v>
      </c>
      <c r="M6" s="1">
        <v>0.34899999999999998</v>
      </c>
      <c r="N6" s="1">
        <v>0.35799999999999998</v>
      </c>
      <c r="O6" s="2">
        <f>M6-K6</f>
        <v>0</v>
      </c>
      <c r="P6" s="2">
        <f>N6-L6</f>
        <v>7.0000000000000062E-3</v>
      </c>
      <c r="Q6" s="2">
        <f>AVERAGE(O6,P6)</f>
        <v>3.5000000000000031E-3</v>
      </c>
      <c r="R6" s="2">
        <f>Q6/4.2427*I6/J6</f>
        <v>1.3749106308089986E-2</v>
      </c>
      <c r="S6" s="2">
        <f>R6*H6</f>
        <v>6.8745531540449932E-3</v>
      </c>
    </row>
    <row r="7" spans="1:19" s="2" customFormat="1" x14ac:dyDescent="0.35">
      <c r="A7" s="2">
        <v>20230606</v>
      </c>
      <c r="B7" s="2" t="s">
        <v>18</v>
      </c>
      <c r="C7" s="2" t="s">
        <v>34</v>
      </c>
      <c r="D7" s="2" t="s">
        <v>19</v>
      </c>
      <c r="E7" s="2" t="s">
        <v>24</v>
      </c>
      <c r="F7" s="1">
        <v>10</v>
      </c>
      <c r="I7" s="1">
        <v>0.25</v>
      </c>
      <c r="J7" s="1">
        <v>0.11</v>
      </c>
      <c r="K7" s="1">
        <v>0.32</v>
      </c>
      <c r="L7" s="1">
        <v>0.315</v>
      </c>
      <c r="M7" s="1">
        <v>0.498</v>
      </c>
      <c r="N7" s="1">
        <v>0.438</v>
      </c>
      <c r="O7" s="2">
        <f>M7-K7</f>
        <v>0.17799999999999999</v>
      </c>
      <c r="P7" s="2">
        <f>N7-L7</f>
        <v>0.123</v>
      </c>
      <c r="Q7" s="2">
        <f>AVERAGE(O7,P7)</f>
        <v>0.15049999999999999</v>
      </c>
      <c r="R7" s="2">
        <f>Q7/4.2427*I7/J7</f>
        <v>8.061975971561848E-2</v>
      </c>
      <c r="S7" s="2">
        <f>R7*F7</f>
        <v>0.80619759715618478</v>
      </c>
    </row>
    <row r="8" spans="1:19" s="2" customFormat="1" x14ac:dyDescent="0.35">
      <c r="A8" s="2">
        <v>20230606</v>
      </c>
      <c r="B8" s="2" t="s">
        <v>18</v>
      </c>
      <c r="C8" s="2" t="s">
        <v>13</v>
      </c>
      <c r="D8" s="2" t="s">
        <v>19</v>
      </c>
      <c r="E8" s="2" t="s">
        <v>24</v>
      </c>
      <c r="F8" s="1">
        <v>10</v>
      </c>
      <c r="I8" s="1">
        <v>0.25</v>
      </c>
      <c r="J8" s="1">
        <v>0.11</v>
      </c>
      <c r="K8" s="1">
        <v>0.28299999999999997</v>
      </c>
      <c r="L8" s="1">
        <v>0.28499999999999998</v>
      </c>
      <c r="M8" s="1">
        <v>0.43099999999999999</v>
      </c>
      <c r="N8" s="1">
        <v>0.441</v>
      </c>
      <c r="O8" s="2">
        <f>M8-K8</f>
        <v>0.14800000000000002</v>
      </c>
      <c r="P8" s="2">
        <f>N8-L8</f>
        <v>0.15600000000000003</v>
      </c>
      <c r="Q8" s="2">
        <f>AVERAGE(O8,P8)</f>
        <v>0.15200000000000002</v>
      </c>
      <c r="R8" s="2">
        <f>Q8/4.2427*I8/J8</f>
        <v>8.1423278915441932E-2</v>
      </c>
      <c r="S8" s="2">
        <f t="shared" ref="S8:S15" si="0">R8*F8</f>
        <v>0.81423278915441932</v>
      </c>
    </row>
    <row r="9" spans="1:19" s="2" customFormat="1" x14ac:dyDescent="0.35">
      <c r="A9" s="2">
        <v>20230606</v>
      </c>
      <c r="B9" s="2" t="s">
        <v>18</v>
      </c>
      <c r="C9" s="2" t="s">
        <v>36</v>
      </c>
      <c r="D9" s="2" t="s">
        <v>19</v>
      </c>
      <c r="E9" s="2" t="s">
        <v>24</v>
      </c>
      <c r="F9" s="1">
        <v>10</v>
      </c>
      <c r="I9" s="1">
        <v>0.25</v>
      </c>
      <c r="J9" s="1">
        <v>0.11</v>
      </c>
      <c r="K9" s="1">
        <v>0.28599999999999998</v>
      </c>
      <c r="L9" s="1">
        <v>0.29699999999999999</v>
      </c>
      <c r="M9" s="1">
        <v>0.442</v>
      </c>
      <c r="N9" s="1">
        <v>0.44800000000000001</v>
      </c>
      <c r="O9" s="2">
        <f>M9-K9</f>
        <v>0.15600000000000003</v>
      </c>
      <c r="P9" s="2">
        <f>N9-L9</f>
        <v>0.15100000000000002</v>
      </c>
      <c r="Q9" s="2">
        <f>AVERAGE(O9,P9)</f>
        <v>0.15350000000000003</v>
      </c>
      <c r="R9" s="2">
        <f>Q9/4.2427*I9/J9</f>
        <v>8.222679811526537E-2</v>
      </c>
      <c r="S9" s="2">
        <f t="shared" si="0"/>
        <v>0.82226798115265365</v>
      </c>
    </row>
    <row r="10" spans="1:19" s="2" customFormat="1" x14ac:dyDescent="0.35">
      <c r="A10" s="2">
        <v>20230606</v>
      </c>
      <c r="B10" s="2" t="s">
        <v>18</v>
      </c>
      <c r="C10" s="2" t="s">
        <v>37</v>
      </c>
      <c r="D10" s="2" t="s">
        <v>19</v>
      </c>
      <c r="E10" s="2" t="s">
        <v>24</v>
      </c>
      <c r="F10" s="1">
        <v>10</v>
      </c>
      <c r="I10" s="1">
        <v>0.25</v>
      </c>
      <c r="J10" s="1">
        <v>0.11</v>
      </c>
      <c r="K10" s="1">
        <v>0.318</v>
      </c>
      <c r="L10" s="1">
        <v>0.32500000000000001</v>
      </c>
      <c r="M10" s="1">
        <v>0.55200000000000005</v>
      </c>
      <c r="N10" s="1">
        <v>0.58899999999999997</v>
      </c>
      <c r="O10" s="2">
        <f>M10-K10</f>
        <v>0.23400000000000004</v>
      </c>
      <c r="P10" s="2">
        <f>N10-L10</f>
        <v>0.26399999999999996</v>
      </c>
      <c r="Q10" s="2">
        <f>AVERAGE(O10,P10)</f>
        <v>0.249</v>
      </c>
      <c r="R10" s="2">
        <f>Q10/4.2427*I10/J10</f>
        <v>0.13338418717069106</v>
      </c>
      <c r="S10" s="2">
        <f t="shared" si="0"/>
        <v>1.3338418717069107</v>
      </c>
    </row>
    <row r="11" spans="1:19" s="2" customFormat="1" x14ac:dyDescent="0.35">
      <c r="A11" s="2">
        <v>20230606</v>
      </c>
      <c r="B11" s="2" t="s">
        <v>18</v>
      </c>
      <c r="C11" s="2" t="s">
        <v>38</v>
      </c>
      <c r="D11" s="2" t="s">
        <v>19</v>
      </c>
      <c r="E11" s="2" t="s">
        <v>24</v>
      </c>
      <c r="F11" s="1">
        <v>10</v>
      </c>
      <c r="I11" s="1">
        <v>0.25</v>
      </c>
      <c r="J11" s="1">
        <v>0.11</v>
      </c>
      <c r="K11" s="1">
        <v>0.29799999999999999</v>
      </c>
      <c r="L11" s="1">
        <v>0.29699999999999999</v>
      </c>
      <c r="M11" s="1">
        <v>0.501</v>
      </c>
      <c r="N11" s="1">
        <v>0.48299999999999998</v>
      </c>
      <c r="O11" s="2">
        <f>M11-K11</f>
        <v>0.20300000000000001</v>
      </c>
      <c r="P11" s="2">
        <f>N11-L11</f>
        <v>0.186</v>
      </c>
      <c r="Q11" s="2">
        <f>AVERAGE(O11,P11)</f>
        <v>0.19450000000000001</v>
      </c>
      <c r="R11" s="2">
        <f>Q11/4.2427*I11/J11</f>
        <v>0.10418965624377273</v>
      </c>
      <c r="S11" s="2">
        <f t="shared" si="0"/>
        <v>1.0418965624377272</v>
      </c>
    </row>
    <row r="12" spans="1:19" s="2" customFormat="1" x14ac:dyDescent="0.35">
      <c r="A12" s="2">
        <v>20230606</v>
      </c>
      <c r="B12" s="2" t="s">
        <v>18</v>
      </c>
      <c r="C12" s="2" t="s">
        <v>41</v>
      </c>
      <c r="D12" s="2" t="s">
        <v>19</v>
      </c>
      <c r="E12" s="2" t="s">
        <v>24</v>
      </c>
      <c r="F12" s="1">
        <v>10</v>
      </c>
      <c r="I12" s="1">
        <v>0.25</v>
      </c>
      <c r="J12" s="1">
        <v>0.11</v>
      </c>
      <c r="K12" s="1">
        <v>0.29499999999999998</v>
      </c>
      <c r="L12" s="1">
        <v>0.29299999999999998</v>
      </c>
      <c r="M12" s="1">
        <v>0.45400000000000001</v>
      </c>
      <c r="N12" s="1">
        <v>0.45</v>
      </c>
      <c r="O12" s="2">
        <f>M12-K12</f>
        <v>0.15900000000000003</v>
      </c>
      <c r="P12" s="2">
        <f>N12-L12</f>
        <v>0.15700000000000003</v>
      </c>
      <c r="Q12" s="2">
        <f>AVERAGE(O12,P12)</f>
        <v>0.15800000000000003</v>
      </c>
      <c r="R12" s="2">
        <f>Q12/4.2427*I12/J12</f>
        <v>8.4637355714735699E-2</v>
      </c>
      <c r="S12" s="2">
        <f t="shared" si="0"/>
        <v>0.84637355714735696</v>
      </c>
    </row>
    <row r="13" spans="1:19" s="2" customFormat="1" x14ac:dyDescent="0.35">
      <c r="A13" s="2">
        <v>20230606</v>
      </c>
      <c r="B13" s="2" t="s">
        <v>18</v>
      </c>
      <c r="C13" s="2" t="s">
        <v>42</v>
      </c>
      <c r="D13" s="2" t="s">
        <v>19</v>
      </c>
      <c r="E13" s="2" t="s">
        <v>24</v>
      </c>
      <c r="F13" s="1">
        <v>10</v>
      </c>
      <c r="I13" s="1">
        <v>0.25</v>
      </c>
      <c r="J13" s="1">
        <v>0.11</v>
      </c>
      <c r="K13" s="1">
        <v>0.28799999999999998</v>
      </c>
      <c r="L13" s="1">
        <v>0.28999999999999998</v>
      </c>
      <c r="M13" s="1">
        <v>0.40799999999999997</v>
      </c>
      <c r="N13" s="1">
        <v>0.41799999999999998</v>
      </c>
      <c r="O13" s="2">
        <f>M13-K13</f>
        <v>0.12</v>
      </c>
      <c r="P13" s="2">
        <f>N13-L13</f>
        <v>0.128</v>
      </c>
      <c r="Q13" s="2">
        <f>AVERAGE(O13,P13)</f>
        <v>0.124</v>
      </c>
      <c r="R13" s="2">
        <f>Q13/4.2427*I13/J13</f>
        <v>6.6424253852071041E-2</v>
      </c>
      <c r="S13" s="2">
        <f t="shared" si="0"/>
        <v>0.66424253852071047</v>
      </c>
    </row>
    <row r="14" spans="1:19" s="2" customFormat="1" x14ac:dyDescent="0.35">
      <c r="A14" s="2">
        <v>20230606</v>
      </c>
      <c r="B14" s="2" t="s">
        <v>18</v>
      </c>
      <c r="C14" s="2" t="s">
        <v>43</v>
      </c>
      <c r="D14" s="2" t="s">
        <v>19</v>
      </c>
      <c r="E14" s="2" t="s">
        <v>24</v>
      </c>
      <c r="F14" s="1">
        <v>10</v>
      </c>
      <c r="I14" s="1">
        <v>0.25</v>
      </c>
      <c r="J14" s="1">
        <v>0.11</v>
      </c>
      <c r="K14" s="1">
        <v>0.30599999999999999</v>
      </c>
      <c r="L14" s="1">
        <v>0.308</v>
      </c>
      <c r="M14" s="1">
        <v>0.55500000000000005</v>
      </c>
      <c r="N14" s="1">
        <v>0.54</v>
      </c>
      <c r="O14" s="2">
        <f>M14-K14</f>
        <v>0.24900000000000005</v>
      </c>
      <c r="P14" s="2">
        <f>N14-L14</f>
        <v>0.23200000000000004</v>
      </c>
      <c r="Q14" s="2">
        <f>AVERAGE(O14,P14)</f>
        <v>0.24050000000000005</v>
      </c>
      <c r="R14" s="2">
        <f>Q14/4.2427*I14/J14</f>
        <v>0.12883091170502489</v>
      </c>
      <c r="S14" s="2">
        <f t="shared" si="0"/>
        <v>1.288309117050249</v>
      </c>
    </row>
    <row r="15" spans="1:19" s="2" customFormat="1" x14ac:dyDescent="0.35">
      <c r="A15" s="2">
        <v>20230606</v>
      </c>
      <c r="B15" s="2" t="s">
        <v>18</v>
      </c>
      <c r="C15" s="2" t="s">
        <v>44</v>
      </c>
      <c r="D15" s="2" t="s">
        <v>19</v>
      </c>
      <c r="E15" s="2" t="s">
        <v>24</v>
      </c>
      <c r="F15" s="1">
        <v>10</v>
      </c>
      <c r="I15" s="1">
        <v>0.25</v>
      </c>
      <c r="J15" s="1">
        <v>0.11</v>
      </c>
      <c r="K15" s="1">
        <v>0.32500000000000001</v>
      </c>
      <c r="L15" s="1">
        <v>0.32100000000000001</v>
      </c>
      <c r="M15" s="1">
        <v>0.55200000000000005</v>
      </c>
      <c r="N15" s="1">
        <v>0.502</v>
      </c>
      <c r="O15" s="2">
        <f>M15-K15</f>
        <v>0.22700000000000004</v>
      </c>
      <c r="P15" s="2">
        <f>N15-L15</f>
        <v>0.18099999999999999</v>
      </c>
      <c r="Q15" s="2">
        <f>AVERAGE(O15,P15)</f>
        <v>0.20400000000000001</v>
      </c>
      <c r="R15" s="2">
        <f>Q15/4.2427*I15/J15</f>
        <v>0.10927861117598785</v>
      </c>
      <c r="S15" s="2">
        <f t="shared" si="0"/>
        <v>1.0927861117598785</v>
      </c>
    </row>
    <row r="16" spans="1:19" s="2" customFormat="1" x14ac:dyDescent="0.35">
      <c r="A16" s="2">
        <v>20230606</v>
      </c>
      <c r="B16" s="2" t="s">
        <v>18</v>
      </c>
      <c r="C16" s="2" t="s">
        <v>40</v>
      </c>
      <c r="D16" s="2" t="s">
        <v>19</v>
      </c>
      <c r="E16" s="2" t="s">
        <v>25</v>
      </c>
      <c r="F16" s="1">
        <v>1.8</v>
      </c>
      <c r="G16" s="1">
        <v>10</v>
      </c>
      <c r="H16" s="1">
        <v>0.5</v>
      </c>
      <c r="I16" s="1">
        <v>0.25</v>
      </c>
      <c r="J16" s="1">
        <v>1.4999999999999999E-2</v>
      </c>
      <c r="K16" s="1">
        <v>0.35399999999999998</v>
      </c>
      <c r="L16" s="1">
        <v>0.34699999999999998</v>
      </c>
      <c r="M16" s="1">
        <v>0.38400000000000001</v>
      </c>
      <c r="N16" s="1">
        <v>0.379</v>
      </c>
      <c r="O16" s="2">
        <f>M16-K16</f>
        <v>3.0000000000000027E-2</v>
      </c>
      <c r="P16" s="2">
        <f>N16-L16</f>
        <v>3.2000000000000028E-2</v>
      </c>
      <c r="Q16" s="2">
        <f>AVERAGE(O16,P16)</f>
        <v>3.1000000000000028E-2</v>
      </c>
      <c r="R16" s="2">
        <f>Q16/4.2427*I16/J16</f>
        <v>0.12177779872879702</v>
      </c>
      <c r="S16" s="2">
        <f>R16*H16</f>
        <v>6.0888899364398508E-2</v>
      </c>
    </row>
    <row r="17" spans="1:19" s="2" customFormat="1" x14ac:dyDescent="0.35">
      <c r="A17" s="2">
        <v>20230606</v>
      </c>
      <c r="B17" s="2" t="s">
        <v>18</v>
      </c>
      <c r="C17" s="2" t="s">
        <v>29</v>
      </c>
      <c r="D17" s="2" t="s">
        <v>19</v>
      </c>
      <c r="E17" s="2" t="s">
        <v>25</v>
      </c>
      <c r="F17" s="1">
        <v>1.8</v>
      </c>
      <c r="G17" s="1">
        <v>10</v>
      </c>
      <c r="H17" s="1">
        <v>0.5</v>
      </c>
      <c r="I17" s="1">
        <v>0.25</v>
      </c>
      <c r="J17" s="1">
        <v>1.4999999999999999E-2</v>
      </c>
      <c r="K17" s="1">
        <v>0.317</v>
      </c>
      <c r="L17" s="1">
        <v>0.32100000000000001</v>
      </c>
      <c r="M17" s="1">
        <v>0.378</v>
      </c>
      <c r="N17" s="1">
        <v>0.38600000000000001</v>
      </c>
      <c r="O17" s="2">
        <f>M17-K17</f>
        <v>6.0999999999999999E-2</v>
      </c>
      <c r="P17" s="2">
        <f>N17-L17</f>
        <v>6.5000000000000002E-2</v>
      </c>
      <c r="Q17" s="2">
        <f>AVERAGE(O17,P17)</f>
        <v>6.3E-2</v>
      </c>
      <c r="R17" s="2">
        <f>Q17/4.2427*I17/J17</f>
        <v>0.24748391354561952</v>
      </c>
      <c r="S17" s="2">
        <f>R17*H17</f>
        <v>0.12374195677280976</v>
      </c>
    </row>
    <row r="18" spans="1:19" s="2" customFormat="1" x14ac:dyDescent="0.35">
      <c r="A18" s="2">
        <v>20230606</v>
      </c>
      <c r="B18" s="2" t="s">
        <v>18</v>
      </c>
      <c r="C18" s="2" t="s">
        <v>30</v>
      </c>
      <c r="D18" s="2" t="s">
        <v>19</v>
      </c>
      <c r="E18" s="2" t="s">
        <v>25</v>
      </c>
      <c r="F18" s="1">
        <v>1.8</v>
      </c>
      <c r="G18" s="1">
        <v>10</v>
      </c>
      <c r="H18" s="1">
        <v>0.5</v>
      </c>
      <c r="I18" s="1">
        <v>0.25</v>
      </c>
      <c r="J18" s="1">
        <v>1.4999999999999999E-2</v>
      </c>
      <c r="K18" s="1">
        <v>0.33400000000000002</v>
      </c>
      <c r="L18" s="1">
        <v>0.32100000000000001</v>
      </c>
      <c r="M18" s="1">
        <v>0.34699999999999998</v>
      </c>
      <c r="N18" s="1">
        <v>0.34</v>
      </c>
      <c r="O18" s="2">
        <f>M18-K18</f>
        <v>1.2999999999999956E-2</v>
      </c>
      <c r="P18" s="2">
        <f>N18-L18</f>
        <v>1.9000000000000017E-2</v>
      </c>
      <c r="Q18" s="2">
        <f>AVERAGE(O18,P18)</f>
        <v>1.5999999999999986E-2</v>
      </c>
      <c r="R18" s="2">
        <f>Q18/4.2427*I18/J18</f>
        <v>6.2853057408411253E-2</v>
      </c>
      <c r="S18" s="2">
        <f>R18*H18</f>
        <v>3.1426528704205627E-2</v>
      </c>
    </row>
    <row r="19" spans="1:19" s="2" customFormat="1" x14ac:dyDescent="0.35">
      <c r="A19" s="2">
        <v>20230606</v>
      </c>
      <c r="B19" s="2" t="s">
        <v>18</v>
      </c>
      <c r="C19" s="2" t="s">
        <v>31</v>
      </c>
      <c r="D19" s="2" t="s">
        <v>19</v>
      </c>
      <c r="E19" s="2" t="s">
        <v>25</v>
      </c>
      <c r="F19" s="1">
        <v>1.8</v>
      </c>
      <c r="G19" s="1">
        <v>10</v>
      </c>
      <c r="H19" s="1">
        <v>0.5</v>
      </c>
      <c r="I19" s="1">
        <v>0.25</v>
      </c>
      <c r="J19" s="1">
        <v>1.4999999999999999E-2</v>
      </c>
      <c r="K19" s="1">
        <v>0.32400000000000001</v>
      </c>
      <c r="L19" s="1">
        <v>0.33600000000000002</v>
      </c>
      <c r="M19" s="1">
        <v>0.35299999999999998</v>
      </c>
      <c r="N19" s="1">
        <v>0.36199999999999999</v>
      </c>
      <c r="O19" s="2">
        <f>M19-K19</f>
        <v>2.899999999999997E-2</v>
      </c>
      <c r="P19" s="2">
        <f>N19-L19</f>
        <v>2.5999999999999968E-2</v>
      </c>
      <c r="Q19" s="2">
        <f>AVERAGE(O19,P19)</f>
        <v>2.7499999999999969E-2</v>
      </c>
      <c r="R19" s="2">
        <f>Q19/4.2427*I19/J19</f>
        <v>0.10802869242070681</v>
      </c>
      <c r="S19" s="2">
        <f>R19*H19</f>
        <v>5.4014346210353406E-2</v>
      </c>
    </row>
    <row r="20" spans="1:19" s="2" customFormat="1" x14ac:dyDescent="0.35">
      <c r="A20" s="2">
        <v>20230606</v>
      </c>
      <c r="B20" s="2" t="s">
        <v>18</v>
      </c>
      <c r="C20" s="2" t="s">
        <v>32</v>
      </c>
      <c r="D20" s="2" t="s">
        <v>19</v>
      </c>
      <c r="E20" s="2" t="s">
        <v>25</v>
      </c>
      <c r="F20" s="1">
        <v>1.8</v>
      </c>
      <c r="G20" s="1">
        <v>10</v>
      </c>
      <c r="H20" s="1">
        <v>0.5</v>
      </c>
      <c r="I20" s="1">
        <v>0.25</v>
      </c>
      <c r="J20" s="1">
        <v>1.4999999999999999E-2</v>
      </c>
      <c r="K20" s="1">
        <v>0.316</v>
      </c>
      <c r="L20" s="1">
        <v>0.313</v>
      </c>
      <c r="M20" s="1">
        <v>0.33300000000000002</v>
      </c>
      <c r="N20" s="1">
        <v>0.33</v>
      </c>
      <c r="O20" s="2">
        <f>M20-K20</f>
        <v>1.7000000000000015E-2</v>
      </c>
      <c r="P20" s="2">
        <f>N20-L20</f>
        <v>1.7000000000000015E-2</v>
      </c>
      <c r="Q20" s="2">
        <f>AVERAGE(O20,P20)</f>
        <v>1.7000000000000015E-2</v>
      </c>
      <c r="R20" s="2">
        <f>Q20/4.2427*I20/J20</f>
        <v>6.6781373496437077E-2</v>
      </c>
      <c r="S20" s="2">
        <f>R20*H20</f>
        <v>3.3390686748218538E-2</v>
      </c>
    </row>
    <row r="21" spans="1:19" s="2" customFormat="1" x14ac:dyDescent="0.35">
      <c r="A21" s="2">
        <v>20230606</v>
      </c>
      <c r="B21" s="2" t="s">
        <v>18</v>
      </c>
      <c r="C21" s="2" t="s">
        <v>33</v>
      </c>
      <c r="D21" s="2" t="s">
        <v>19</v>
      </c>
      <c r="E21" s="2" t="s">
        <v>25</v>
      </c>
      <c r="F21" s="1">
        <v>1.8</v>
      </c>
      <c r="G21" s="1">
        <v>10</v>
      </c>
      <c r="H21" s="1">
        <v>0.5</v>
      </c>
      <c r="I21" s="1">
        <v>0.25</v>
      </c>
      <c r="J21" s="1">
        <v>1.4999999999999999E-2</v>
      </c>
      <c r="K21" s="1">
        <v>0.35899999999999999</v>
      </c>
      <c r="L21" s="1">
        <v>0.35699999999999998</v>
      </c>
      <c r="M21" s="1">
        <v>0.43</v>
      </c>
      <c r="N21" s="1">
        <v>0.42399999999999999</v>
      </c>
      <c r="O21" s="2">
        <f>M21-K21</f>
        <v>7.1000000000000008E-2</v>
      </c>
      <c r="P21" s="2">
        <f>N21-L21</f>
        <v>6.7000000000000004E-2</v>
      </c>
      <c r="Q21" s="2">
        <f>AVERAGE(O21,P21)</f>
        <v>6.9000000000000006E-2</v>
      </c>
      <c r="R21" s="2">
        <f>Q21/4.2427*I21/J21</f>
        <v>0.27105381007377377</v>
      </c>
      <c r="S21" s="2">
        <f>R21*H21</f>
        <v>0.13552690503688689</v>
      </c>
    </row>
    <row r="22" spans="1:19" s="2" customFormat="1" x14ac:dyDescent="0.35">
      <c r="A22" s="2">
        <v>20230606</v>
      </c>
      <c r="B22" s="2" t="s">
        <v>18</v>
      </c>
      <c r="C22" s="2" t="s">
        <v>40</v>
      </c>
      <c r="D22" s="2" t="s">
        <v>19</v>
      </c>
      <c r="E22" s="2" t="s">
        <v>26</v>
      </c>
      <c r="F22" s="1">
        <v>1.8</v>
      </c>
      <c r="G22" s="1">
        <v>10</v>
      </c>
      <c r="H22" s="1">
        <v>0.5</v>
      </c>
      <c r="I22" s="1">
        <v>0.25</v>
      </c>
      <c r="J22" s="1">
        <v>1.4999999999999999E-2</v>
      </c>
      <c r="K22" s="1">
        <v>0.29299999999999998</v>
      </c>
      <c r="L22" s="1">
        <v>0.28799999999999998</v>
      </c>
      <c r="M22" s="1">
        <v>0.30299999999999999</v>
      </c>
      <c r="N22" s="1">
        <v>0.3</v>
      </c>
      <c r="O22" s="2">
        <f>M22-K22</f>
        <v>1.0000000000000009E-2</v>
      </c>
      <c r="P22" s="2">
        <f>N22-L22</f>
        <v>1.2000000000000011E-2</v>
      </c>
      <c r="Q22" s="2">
        <f>AVERAGE(O22,P22)</f>
        <v>1.100000000000001E-2</v>
      </c>
      <c r="R22" s="2">
        <f>Q22/4.2427*I22/J22</f>
        <v>4.3211476968282814E-2</v>
      </c>
      <c r="S22" s="2">
        <f>R22*H22</f>
        <v>2.1605738484141407E-2</v>
      </c>
    </row>
    <row r="23" spans="1:19" s="2" customFormat="1" x14ac:dyDescent="0.35">
      <c r="A23" s="2">
        <v>20230606</v>
      </c>
      <c r="B23" s="2" t="s">
        <v>18</v>
      </c>
      <c r="C23" s="2" t="s">
        <v>29</v>
      </c>
      <c r="D23" s="2" t="s">
        <v>19</v>
      </c>
      <c r="E23" s="2" t="s">
        <v>26</v>
      </c>
      <c r="F23" s="1">
        <v>1.8</v>
      </c>
      <c r="G23" s="1">
        <v>10</v>
      </c>
      <c r="H23" s="1">
        <v>0.5</v>
      </c>
      <c r="I23" s="1">
        <v>0.25</v>
      </c>
      <c r="J23" s="1">
        <v>1.4999999999999999E-2</v>
      </c>
      <c r="K23" s="1">
        <v>0.29599999999999999</v>
      </c>
      <c r="L23" s="1">
        <v>0.29399999999999998</v>
      </c>
      <c r="M23" s="1">
        <v>0.32</v>
      </c>
      <c r="N23" s="1">
        <v>0.32</v>
      </c>
      <c r="O23" s="2">
        <f>M23-K23</f>
        <v>2.4000000000000021E-2</v>
      </c>
      <c r="P23" s="2">
        <f>N23-L23</f>
        <v>2.6000000000000023E-2</v>
      </c>
      <c r="Q23" s="2">
        <f>AVERAGE(O23,P23)</f>
        <v>2.5000000000000022E-2</v>
      </c>
      <c r="R23" s="2">
        <f>Q23/4.2427*I23/J23</f>
        <v>9.8207902200642766E-2</v>
      </c>
      <c r="S23" s="2">
        <f>R23*H23</f>
        <v>4.9103951100321383E-2</v>
      </c>
    </row>
    <row r="24" spans="1:19" s="2" customFormat="1" x14ac:dyDescent="0.35">
      <c r="A24" s="2">
        <v>20230606</v>
      </c>
      <c r="B24" s="2" t="s">
        <v>18</v>
      </c>
      <c r="C24" s="2" t="s">
        <v>30</v>
      </c>
      <c r="D24" s="2" t="s">
        <v>19</v>
      </c>
      <c r="E24" s="2" t="s">
        <v>26</v>
      </c>
      <c r="F24" s="1">
        <v>1.8</v>
      </c>
      <c r="G24" s="1">
        <v>10</v>
      </c>
      <c r="H24" s="1">
        <v>0.5</v>
      </c>
      <c r="I24" s="1">
        <v>0.25</v>
      </c>
      <c r="J24" s="1">
        <v>1.4999999999999999E-2</v>
      </c>
      <c r="K24" s="1">
        <v>0.29299999999999998</v>
      </c>
      <c r="L24" s="1">
        <v>0.29899999999999999</v>
      </c>
      <c r="M24" s="1">
        <v>0.34100000000000003</v>
      </c>
      <c r="N24" s="1">
        <v>0.34899999999999998</v>
      </c>
      <c r="O24" s="2">
        <f>M24-K24</f>
        <v>4.8000000000000043E-2</v>
      </c>
      <c r="P24" s="2">
        <f>N24-L24</f>
        <v>4.9999999999999989E-2</v>
      </c>
      <c r="Q24" s="2">
        <f>AVERAGE(O24,P24)</f>
        <v>4.9000000000000016E-2</v>
      </c>
      <c r="R24" s="2">
        <f>Q24/4.2427*I24/J24</f>
        <v>0.19248748831325971</v>
      </c>
      <c r="S24" s="2">
        <f>R24*H24</f>
        <v>9.6243744156629854E-2</v>
      </c>
    </row>
    <row r="25" spans="1:19" s="2" customFormat="1" x14ac:dyDescent="0.35">
      <c r="A25" s="2">
        <v>20230606</v>
      </c>
      <c r="B25" s="2" t="s">
        <v>18</v>
      </c>
      <c r="C25" s="2" t="s">
        <v>31</v>
      </c>
      <c r="D25" s="2" t="s">
        <v>19</v>
      </c>
      <c r="E25" s="2" t="s">
        <v>26</v>
      </c>
      <c r="F25" s="1">
        <v>1.8</v>
      </c>
      <c r="G25" s="1">
        <v>10</v>
      </c>
      <c r="H25" s="1">
        <v>0.5</v>
      </c>
      <c r="I25" s="1">
        <v>0.25</v>
      </c>
      <c r="J25" s="1">
        <v>1.4999999999999999E-2</v>
      </c>
      <c r="K25" s="1">
        <v>0.29499999999999998</v>
      </c>
      <c r="L25" s="1">
        <v>0.29699999999999999</v>
      </c>
      <c r="M25" s="1">
        <v>0.51300000000000001</v>
      </c>
      <c r="N25" s="1">
        <v>0.51600000000000001</v>
      </c>
      <c r="O25" s="2">
        <f>M25-K25</f>
        <v>0.21800000000000003</v>
      </c>
      <c r="P25" s="2">
        <f>N25-L25</f>
        <v>0.21900000000000003</v>
      </c>
      <c r="Q25" s="2">
        <f>AVERAGE(O25,P25)</f>
        <v>0.21850000000000003</v>
      </c>
      <c r="R25" s="2">
        <f>Q25/4.2427*I25/J25</f>
        <v>0.85833706523361697</v>
      </c>
      <c r="S25" s="2">
        <f>R25*H25</f>
        <v>0.42916853261680848</v>
      </c>
    </row>
    <row r="26" spans="1:19" s="2" customFormat="1" x14ac:dyDescent="0.35">
      <c r="A26" s="2">
        <v>20230606</v>
      </c>
      <c r="B26" s="2" t="s">
        <v>18</v>
      </c>
      <c r="C26" s="2" t="s">
        <v>32</v>
      </c>
      <c r="D26" s="2" t="s">
        <v>19</v>
      </c>
      <c r="E26" s="2" t="s">
        <v>26</v>
      </c>
      <c r="F26" s="1">
        <v>1.8</v>
      </c>
      <c r="G26" s="1">
        <v>10</v>
      </c>
      <c r="H26" s="1">
        <v>0.5</v>
      </c>
      <c r="I26" s="1">
        <v>0.25</v>
      </c>
      <c r="J26" s="1">
        <v>1.4999999999999999E-2</v>
      </c>
      <c r="K26" s="1">
        <v>0.307</v>
      </c>
      <c r="L26" s="1">
        <v>0.31</v>
      </c>
      <c r="M26" s="1">
        <v>0.31900000000000001</v>
      </c>
      <c r="N26" s="1">
        <v>0.32200000000000001</v>
      </c>
      <c r="O26" s="2">
        <f>M26-K26</f>
        <v>1.2000000000000011E-2</v>
      </c>
      <c r="P26" s="2">
        <f>N26-L26</f>
        <v>1.2000000000000011E-2</v>
      </c>
      <c r="Q26" s="2">
        <f>AVERAGE(O26,P26)</f>
        <v>1.2000000000000011E-2</v>
      </c>
      <c r="R26" s="2">
        <f>Q26/4.2427*I26/J26</f>
        <v>4.713979305630852E-2</v>
      </c>
      <c r="S26" s="2">
        <f>R26*H26</f>
        <v>2.356989652815426E-2</v>
      </c>
    </row>
    <row r="27" spans="1:19" s="2" customFormat="1" x14ac:dyDescent="0.35">
      <c r="A27" s="2">
        <v>20230606</v>
      </c>
      <c r="B27" s="2" t="s">
        <v>18</v>
      </c>
      <c r="C27" s="2" t="s">
        <v>33</v>
      </c>
      <c r="D27" s="2" t="s">
        <v>19</v>
      </c>
      <c r="E27" s="2" t="s">
        <v>26</v>
      </c>
      <c r="F27" s="1">
        <v>1.8</v>
      </c>
      <c r="G27" s="1">
        <v>10</v>
      </c>
      <c r="H27" s="1">
        <v>0.5</v>
      </c>
      <c r="I27" s="1">
        <v>0.25</v>
      </c>
      <c r="J27" s="1">
        <v>1.4999999999999999E-2</v>
      </c>
      <c r="K27" s="1">
        <v>0.30399999999999999</v>
      </c>
      <c r="L27" s="1">
        <v>0.30399999999999999</v>
      </c>
      <c r="M27" s="1">
        <v>0.31</v>
      </c>
      <c r="N27" s="1">
        <v>0.309</v>
      </c>
      <c r="O27" s="2">
        <f>M27-K27</f>
        <v>6.0000000000000053E-3</v>
      </c>
      <c r="P27" s="2">
        <f>N27-L27</f>
        <v>5.0000000000000044E-3</v>
      </c>
      <c r="Q27" s="2">
        <f>AVERAGE(O27,P27)</f>
        <v>5.5000000000000049E-3</v>
      </c>
      <c r="R27" s="2">
        <f>Q27/4.2427*I27/J27</f>
        <v>2.1605738484141407E-2</v>
      </c>
      <c r="S27" s="2">
        <f>R27*H27</f>
        <v>1.0802869242070703E-2</v>
      </c>
    </row>
    <row r="28" spans="1:19" s="2" customFormat="1" x14ac:dyDescent="0.35">
      <c r="A28" s="2">
        <v>20230606</v>
      </c>
      <c r="B28" s="2" t="s">
        <v>18</v>
      </c>
      <c r="C28" s="2" t="s">
        <v>40</v>
      </c>
      <c r="D28" s="2" t="s">
        <v>19</v>
      </c>
      <c r="E28" s="2" t="s">
        <v>27</v>
      </c>
      <c r="F28" s="1">
        <v>1.8</v>
      </c>
      <c r="G28" s="1">
        <v>10</v>
      </c>
      <c r="H28" s="1">
        <v>0.5</v>
      </c>
      <c r="I28" s="1">
        <v>0.25</v>
      </c>
      <c r="J28" s="1">
        <v>1.4999999999999999E-2</v>
      </c>
      <c r="K28" s="1">
        <v>0.30099999999999999</v>
      </c>
      <c r="L28" s="1">
        <v>0.30299999999999999</v>
      </c>
      <c r="M28" s="1">
        <v>0.313</v>
      </c>
      <c r="N28" s="1">
        <v>0.317</v>
      </c>
      <c r="O28" s="2">
        <f>M28-K28</f>
        <v>1.2000000000000011E-2</v>
      </c>
      <c r="P28" s="2">
        <f>N28-L28</f>
        <v>1.4000000000000012E-2</v>
      </c>
      <c r="Q28" s="2">
        <f>AVERAGE(O28,P28)</f>
        <v>1.3000000000000012E-2</v>
      </c>
      <c r="R28" s="2">
        <f>Q28/4.2427*I28/J28</f>
        <v>5.1068109144334239E-2</v>
      </c>
      <c r="S28" s="2">
        <f>R28*H28</f>
        <v>2.553405457216712E-2</v>
      </c>
    </row>
    <row r="29" spans="1:19" s="2" customFormat="1" x14ac:dyDescent="0.35">
      <c r="A29" s="2">
        <v>20230606</v>
      </c>
      <c r="B29" s="2" t="s">
        <v>18</v>
      </c>
      <c r="C29" s="2" t="s">
        <v>29</v>
      </c>
      <c r="D29" s="2" t="s">
        <v>19</v>
      </c>
      <c r="E29" s="2" t="s">
        <v>27</v>
      </c>
      <c r="F29" s="1">
        <v>1.8</v>
      </c>
      <c r="G29" s="1">
        <v>10</v>
      </c>
      <c r="H29" s="1">
        <v>0.5</v>
      </c>
      <c r="I29" s="1">
        <v>0.25</v>
      </c>
      <c r="J29" s="1">
        <v>1.4999999999999999E-2</v>
      </c>
      <c r="K29" s="1">
        <v>0.29199999999999998</v>
      </c>
      <c r="L29" s="1">
        <v>0.29599999999999999</v>
      </c>
      <c r="M29" s="1">
        <v>0.29399999999999998</v>
      </c>
      <c r="N29" s="1">
        <v>0.29799999999999999</v>
      </c>
      <c r="O29" s="2">
        <f>M29-K29</f>
        <v>2.0000000000000018E-3</v>
      </c>
      <c r="P29" s="2">
        <f>N29-L29</f>
        <v>2.0000000000000018E-3</v>
      </c>
      <c r="Q29" s="2">
        <f>AVERAGE(O29,P29)</f>
        <v>2.0000000000000018E-3</v>
      </c>
      <c r="R29" s="2">
        <f>Q29/4.2427*I29/J29</f>
        <v>7.8566321760514205E-3</v>
      </c>
      <c r="S29" s="2">
        <f>R29*H29</f>
        <v>3.9283160880257103E-3</v>
      </c>
    </row>
    <row r="30" spans="1:19" s="2" customFormat="1" x14ac:dyDescent="0.35">
      <c r="A30" s="2">
        <v>20230606</v>
      </c>
      <c r="B30" s="2" t="s">
        <v>18</v>
      </c>
      <c r="C30" s="2" t="s">
        <v>30</v>
      </c>
      <c r="D30" s="2" t="s">
        <v>19</v>
      </c>
      <c r="E30" s="2" t="s">
        <v>27</v>
      </c>
      <c r="F30" s="1">
        <v>1.8</v>
      </c>
      <c r="G30" s="1">
        <v>10</v>
      </c>
      <c r="H30" s="1">
        <v>0.5</v>
      </c>
      <c r="I30" s="1">
        <v>0.25</v>
      </c>
      <c r="J30" s="1">
        <v>1.4999999999999999E-2</v>
      </c>
      <c r="K30" s="1">
        <v>0.27900000000000003</v>
      </c>
      <c r="L30" s="1">
        <v>0.28299999999999997</v>
      </c>
      <c r="M30" s="1">
        <v>0.29599999999999999</v>
      </c>
      <c r="N30" s="1">
        <v>0.29299999999999998</v>
      </c>
      <c r="O30" s="2">
        <f>M30-K30</f>
        <v>1.699999999999996E-2</v>
      </c>
      <c r="P30" s="2">
        <f>N30-L30</f>
        <v>1.0000000000000009E-2</v>
      </c>
      <c r="Q30" s="2">
        <f>AVERAGE(O30,P30)</f>
        <v>1.3499999999999984E-2</v>
      </c>
      <c r="R30" s="2">
        <f>Q30/4.2427*I30/J30</f>
        <v>5.3032267188346985E-2</v>
      </c>
      <c r="S30" s="2">
        <f>R30*H30</f>
        <v>2.6516133594173492E-2</v>
      </c>
    </row>
    <row r="31" spans="1:19" s="2" customFormat="1" x14ac:dyDescent="0.35">
      <c r="A31" s="2">
        <v>20230606</v>
      </c>
      <c r="B31" s="2" t="s">
        <v>18</v>
      </c>
      <c r="C31" s="2" t="s">
        <v>31</v>
      </c>
      <c r="D31" s="2" t="s">
        <v>19</v>
      </c>
      <c r="E31" s="2" t="s">
        <v>27</v>
      </c>
      <c r="F31" s="1">
        <v>1.8</v>
      </c>
      <c r="G31" s="1">
        <v>10</v>
      </c>
      <c r="H31" s="1">
        <v>0.5</v>
      </c>
      <c r="I31" s="1">
        <v>0.25</v>
      </c>
      <c r="J31" s="1">
        <v>1.4999999999999999E-2</v>
      </c>
      <c r="K31" s="1">
        <v>0.36599999999999999</v>
      </c>
      <c r="L31" s="1">
        <v>0.373</v>
      </c>
      <c r="M31" s="1">
        <v>0.38100000000000001</v>
      </c>
      <c r="N31" s="1">
        <v>0.38300000000000001</v>
      </c>
      <c r="O31" s="2">
        <f>M31-K31</f>
        <v>1.5000000000000013E-2</v>
      </c>
      <c r="P31" s="2">
        <f>N31-L31</f>
        <v>1.0000000000000009E-2</v>
      </c>
      <c r="Q31" s="2">
        <f>AVERAGE(O31,P31)</f>
        <v>1.2500000000000011E-2</v>
      </c>
      <c r="R31" s="2">
        <f>Q31/4.2427*I31/J31</f>
        <v>4.9103951100321383E-2</v>
      </c>
      <c r="S31" s="2">
        <f>R31*H31</f>
        <v>2.4551975550160691E-2</v>
      </c>
    </row>
    <row r="32" spans="1:19" s="2" customFormat="1" x14ac:dyDescent="0.35">
      <c r="A32" s="2">
        <v>20230606</v>
      </c>
      <c r="B32" s="2" t="s">
        <v>18</v>
      </c>
      <c r="C32" s="2" t="s">
        <v>32</v>
      </c>
      <c r="D32" s="2" t="s">
        <v>19</v>
      </c>
      <c r="E32" s="2" t="s">
        <v>27</v>
      </c>
      <c r="F32" s="1">
        <v>1.8</v>
      </c>
      <c r="G32" s="1">
        <v>10</v>
      </c>
      <c r="H32" s="1">
        <v>0.5</v>
      </c>
      <c r="I32" s="1">
        <v>0.25</v>
      </c>
      <c r="J32" s="1">
        <v>1.4999999999999999E-2</v>
      </c>
      <c r="K32" s="1">
        <v>0.32100000000000001</v>
      </c>
      <c r="L32" s="1">
        <v>0.313</v>
      </c>
      <c r="M32" s="1">
        <v>0.33300000000000002</v>
      </c>
      <c r="N32" s="1">
        <v>0.33200000000000002</v>
      </c>
      <c r="O32" s="2">
        <f>M32-K32</f>
        <v>1.2000000000000011E-2</v>
      </c>
      <c r="P32" s="2">
        <f>N32-L32</f>
        <v>1.9000000000000017E-2</v>
      </c>
      <c r="Q32" s="2">
        <f>AVERAGE(O32,P32)</f>
        <v>1.5500000000000014E-2</v>
      </c>
      <c r="R32" s="2">
        <f>Q32/4.2427*I32/J32</f>
        <v>6.0888899364398508E-2</v>
      </c>
      <c r="S32" s="2">
        <f>R32*H32</f>
        <v>3.0444449682199254E-2</v>
      </c>
    </row>
    <row r="33" spans="1:19" s="2" customFormat="1" x14ac:dyDescent="0.35">
      <c r="A33" s="2">
        <v>20230606</v>
      </c>
      <c r="B33" s="2" t="s">
        <v>18</v>
      </c>
      <c r="C33" s="2" t="s">
        <v>33</v>
      </c>
      <c r="D33" s="2" t="s">
        <v>19</v>
      </c>
      <c r="E33" s="2" t="s">
        <v>27</v>
      </c>
      <c r="F33" s="1">
        <v>1.8</v>
      </c>
      <c r="G33" s="1">
        <v>10</v>
      </c>
      <c r="H33" s="1">
        <v>0.5</v>
      </c>
      <c r="I33" s="1">
        <v>0.25</v>
      </c>
      <c r="J33" s="1">
        <v>1.4999999999999999E-2</v>
      </c>
      <c r="K33" s="1">
        <v>0.33300000000000002</v>
      </c>
      <c r="L33" s="1">
        <v>0.33900000000000002</v>
      </c>
      <c r="M33" s="1">
        <v>0.35699999999999998</v>
      </c>
      <c r="N33" s="1">
        <v>0.35799999999999998</v>
      </c>
      <c r="O33" s="2">
        <f>M33-K33</f>
        <v>2.3999999999999966E-2</v>
      </c>
      <c r="P33" s="2">
        <f>N33-L33</f>
        <v>1.8999999999999961E-2</v>
      </c>
      <c r="Q33" s="2">
        <f>AVERAGE(O33,P33)</f>
        <v>2.1499999999999964E-2</v>
      </c>
      <c r="R33" s="2">
        <f>Q33/4.2427*I33/J33</f>
        <v>8.4458795892552563E-2</v>
      </c>
      <c r="S33" s="2">
        <f>R33*H33</f>
        <v>4.2229397946276281E-2</v>
      </c>
    </row>
    <row r="34" spans="1:19" s="2" customFormat="1" x14ac:dyDescent="0.35">
      <c r="A34" s="2">
        <v>20230606</v>
      </c>
      <c r="B34" s="2" t="s">
        <v>18</v>
      </c>
      <c r="C34" s="2" t="s">
        <v>34</v>
      </c>
      <c r="D34" s="2" t="s">
        <v>19</v>
      </c>
      <c r="E34" s="2" t="s">
        <v>27</v>
      </c>
      <c r="F34" s="1">
        <v>10</v>
      </c>
      <c r="I34" s="1">
        <v>0.25</v>
      </c>
      <c r="J34" s="1">
        <v>0.11</v>
      </c>
      <c r="K34" s="1">
        <v>0.28999999999999998</v>
      </c>
      <c r="L34" s="1">
        <v>0.30599999999999999</v>
      </c>
      <c r="M34" s="1">
        <v>0.51300000000000001</v>
      </c>
      <c r="N34" s="1">
        <v>0.57499999999999996</v>
      </c>
      <c r="O34" s="2">
        <f>M34-K34</f>
        <v>0.22300000000000003</v>
      </c>
      <c r="P34" s="2">
        <f>N34-L34</f>
        <v>0.26899999999999996</v>
      </c>
      <c r="Q34" s="2">
        <f>AVERAGE(O34,P34)</f>
        <v>0.246</v>
      </c>
      <c r="R34" s="2">
        <f>Q34/4.2427*I34/J34</f>
        <v>0.13177714877104416</v>
      </c>
      <c r="S34" s="2">
        <f>R34*F34</f>
        <v>1.3177714877104416</v>
      </c>
    </row>
    <row r="35" spans="1:19" s="2" customFormat="1" x14ac:dyDescent="0.35">
      <c r="A35" s="2">
        <v>20230606</v>
      </c>
      <c r="B35" s="2" t="s">
        <v>18</v>
      </c>
      <c r="C35" s="2" t="s">
        <v>35</v>
      </c>
      <c r="D35" s="2" t="s">
        <v>19</v>
      </c>
      <c r="E35" s="2" t="s">
        <v>27</v>
      </c>
      <c r="F35" s="1">
        <v>10</v>
      </c>
      <c r="I35" s="1">
        <v>0.25</v>
      </c>
      <c r="J35" s="1">
        <v>0.11</v>
      </c>
      <c r="K35" s="1">
        <v>0.34200000000000003</v>
      </c>
      <c r="L35" s="1">
        <v>0.34300000000000003</v>
      </c>
      <c r="M35" s="1">
        <v>0.503</v>
      </c>
      <c r="N35" s="1">
        <v>0.51100000000000001</v>
      </c>
      <c r="O35" s="2">
        <f>M35-K35</f>
        <v>0.16099999999999998</v>
      </c>
      <c r="P35" s="2">
        <f>N35-L35</f>
        <v>0.16799999999999998</v>
      </c>
      <c r="Q35" s="2">
        <f>AVERAGE(O35,P35)</f>
        <v>0.16449999999999998</v>
      </c>
      <c r="R35" s="2">
        <f>Q35/4.2427*I35/J35</f>
        <v>8.8119272247303912E-2</v>
      </c>
      <c r="S35" s="2">
        <f t="shared" ref="S35:S45" si="1">R35*F35</f>
        <v>0.88119272247303915</v>
      </c>
    </row>
    <row r="36" spans="1:19" s="2" customFormat="1" x14ac:dyDescent="0.35">
      <c r="A36" s="2">
        <v>20230606</v>
      </c>
      <c r="B36" s="2" t="s">
        <v>18</v>
      </c>
      <c r="C36" s="2" t="s">
        <v>36</v>
      </c>
      <c r="D36" s="2" t="s">
        <v>19</v>
      </c>
      <c r="E36" s="2" t="s">
        <v>27</v>
      </c>
      <c r="F36" s="1">
        <v>10</v>
      </c>
      <c r="I36" s="1">
        <v>0.25</v>
      </c>
      <c r="J36" s="1">
        <v>0.11</v>
      </c>
      <c r="K36" s="1">
        <v>0.29099999999999998</v>
      </c>
      <c r="L36" s="1">
        <v>0.30599999999999999</v>
      </c>
      <c r="M36" s="1">
        <v>0.38500000000000001</v>
      </c>
      <c r="N36" s="1">
        <v>0.438</v>
      </c>
      <c r="O36" s="2">
        <f>M36-K36</f>
        <v>9.4000000000000028E-2</v>
      </c>
      <c r="P36" s="2">
        <f>N36-L36</f>
        <v>0.13200000000000001</v>
      </c>
      <c r="Q36" s="2">
        <f>AVERAGE(O36,P36)</f>
        <v>0.11300000000000002</v>
      </c>
      <c r="R36" s="2">
        <f>Q36/4.2427*I36/J36</f>
        <v>6.0531779720032486E-2</v>
      </c>
      <c r="S36" s="2">
        <f t="shared" si="1"/>
        <v>0.60531779720032486</v>
      </c>
    </row>
    <row r="37" spans="1:19" s="2" customFormat="1" x14ac:dyDescent="0.35">
      <c r="A37" s="2">
        <v>20230606</v>
      </c>
      <c r="B37" s="2" t="s">
        <v>18</v>
      </c>
      <c r="C37" s="2" t="s">
        <v>37</v>
      </c>
      <c r="D37" s="2" t="s">
        <v>19</v>
      </c>
      <c r="E37" s="2" t="s">
        <v>27</v>
      </c>
      <c r="F37" s="1">
        <v>10</v>
      </c>
      <c r="I37" s="1">
        <v>0.25</v>
      </c>
      <c r="J37" s="1">
        <v>0.11</v>
      </c>
      <c r="K37" s="1">
        <v>0.28899999999999998</v>
      </c>
      <c r="L37" s="1">
        <v>0.308</v>
      </c>
      <c r="M37" s="1">
        <v>0.39600000000000002</v>
      </c>
      <c r="N37" s="1">
        <v>0.50700000000000001</v>
      </c>
      <c r="O37" s="2">
        <f>M37-K37</f>
        <v>0.10700000000000004</v>
      </c>
      <c r="P37" s="2">
        <f>N37-L37</f>
        <v>0.19900000000000001</v>
      </c>
      <c r="Q37" s="2">
        <f>AVERAGE(O37,P37)</f>
        <v>0.15300000000000002</v>
      </c>
      <c r="R37" s="2">
        <f>Q37/4.2427*I37/J37</f>
        <v>8.1958958381990896E-2</v>
      </c>
      <c r="S37" s="2">
        <f t="shared" si="1"/>
        <v>0.81958958381990898</v>
      </c>
    </row>
    <row r="38" spans="1:19" s="2" customFormat="1" x14ac:dyDescent="0.35">
      <c r="A38" s="2">
        <v>20230606</v>
      </c>
      <c r="B38" s="2" t="s">
        <v>18</v>
      </c>
      <c r="C38" s="2" t="s">
        <v>38</v>
      </c>
      <c r="D38" s="2" t="s">
        <v>19</v>
      </c>
      <c r="E38" s="2" t="s">
        <v>27</v>
      </c>
      <c r="F38" s="1">
        <v>10</v>
      </c>
      <c r="I38" s="1">
        <v>0.25</v>
      </c>
      <c r="J38" s="1">
        <v>0.11</v>
      </c>
      <c r="K38" s="1">
        <v>0.314</v>
      </c>
      <c r="L38" s="1">
        <v>0.32300000000000001</v>
      </c>
      <c r="M38" s="1">
        <v>0.42199999999999999</v>
      </c>
      <c r="N38" s="1">
        <v>0.44500000000000001</v>
      </c>
      <c r="O38" s="2">
        <f>M38-K38</f>
        <v>0.10799999999999998</v>
      </c>
      <c r="P38" s="2">
        <f>N38-L38</f>
        <v>0.122</v>
      </c>
      <c r="Q38" s="2">
        <f>AVERAGE(O38,P38)</f>
        <v>0.11499999999999999</v>
      </c>
      <c r="R38" s="2">
        <f>Q38/4.2427*I38/J38</f>
        <v>6.1603138653130399E-2</v>
      </c>
      <c r="S38" s="2">
        <f t="shared" si="1"/>
        <v>0.61603138653130396</v>
      </c>
    </row>
    <row r="39" spans="1:19" s="2" customFormat="1" x14ac:dyDescent="0.35">
      <c r="A39" s="2">
        <v>20230606</v>
      </c>
      <c r="B39" s="2" t="s">
        <v>18</v>
      </c>
      <c r="C39" s="2" t="s">
        <v>39</v>
      </c>
      <c r="D39" s="2" t="s">
        <v>19</v>
      </c>
      <c r="E39" s="2" t="s">
        <v>27</v>
      </c>
      <c r="F39" s="1">
        <v>10</v>
      </c>
      <c r="I39" s="1">
        <v>0.25</v>
      </c>
      <c r="J39" s="1">
        <v>0.11</v>
      </c>
      <c r="K39" s="1">
        <v>0.27500000000000002</v>
      </c>
      <c r="L39" s="1">
        <v>0.28100000000000003</v>
      </c>
      <c r="M39" s="1">
        <v>0.34799999999999998</v>
      </c>
      <c r="N39" s="1">
        <v>0.38100000000000001</v>
      </c>
      <c r="O39" s="2">
        <f>M39-K39</f>
        <v>7.2999999999999954E-2</v>
      </c>
      <c r="P39" s="2">
        <f>N39-L39</f>
        <v>9.9999999999999978E-2</v>
      </c>
      <c r="Q39" s="2">
        <f>AVERAGE(O39,P39)</f>
        <v>8.6499999999999966E-2</v>
      </c>
      <c r="R39" s="2">
        <f>Q39/4.2427*I39/J39</f>
        <v>4.6336273856485019E-2</v>
      </c>
      <c r="S39" s="2">
        <f t="shared" si="1"/>
        <v>0.46336273856485022</v>
      </c>
    </row>
    <row r="40" spans="1:19" s="2" customFormat="1" x14ac:dyDescent="0.35">
      <c r="A40" s="2">
        <v>20230606</v>
      </c>
      <c r="B40" s="2" t="s">
        <v>18</v>
      </c>
      <c r="C40" s="2" t="s">
        <v>41</v>
      </c>
      <c r="D40" s="2" t="s">
        <v>19</v>
      </c>
      <c r="E40" s="2" t="s">
        <v>27</v>
      </c>
      <c r="F40" s="1">
        <v>10</v>
      </c>
      <c r="I40" s="1">
        <v>0.25</v>
      </c>
      <c r="J40" s="1">
        <v>0.11</v>
      </c>
      <c r="K40" s="1">
        <v>0.26500000000000001</v>
      </c>
      <c r="L40" s="1">
        <v>0.27</v>
      </c>
      <c r="M40" s="1">
        <v>0.35799999999999998</v>
      </c>
      <c r="N40" s="1">
        <v>0.39700000000000002</v>
      </c>
      <c r="O40" s="2">
        <f>M40-K40</f>
        <v>9.2999999999999972E-2</v>
      </c>
      <c r="P40" s="2">
        <f>N40-L40</f>
        <v>0.127</v>
      </c>
      <c r="Q40" s="2">
        <f>AVERAGE(O40,P40)</f>
        <v>0.10999999999999999</v>
      </c>
      <c r="R40" s="2">
        <f>Q40/4.2427*I40/J40</f>
        <v>5.8924741320385596E-2</v>
      </c>
      <c r="S40" s="2">
        <f t="shared" si="1"/>
        <v>0.58924741320385599</v>
      </c>
    </row>
    <row r="41" spans="1:19" s="2" customFormat="1" x14ac:dyDescent="0.35">
      <c r="A41" s="2">
        <v>20230606</v>
      </c>
      <c r="B41" s="2" t="s">
        <v>18</v>
      </c>
      <c r="C41" s="2" t="s">
        <v>42</v>
      </c>
      <c r="D41" s="2" t="s">
        <v>19</v>
      </c>
      <c r="E41" s="2" t="s">
        <v>27</v>
      </c>
      <c r="F41" s="1">
        <v>10</v>
      </c>
      <c r="I41" s="1">
        <v>0.25</v>
      </c>
      <c r="J41" s="1">
        <v>0.11</v>
      </c>
      <c r="K41" s="1">
        <v>0.27600000000000002</v>
      </c>
      <c r="L41" s="1">
        <v>0.27600000000000002</v>
      </c>
      <c r="M41" s="1">
        <v>0.38800000000000001</v>
      </c>
      <c r="N41" s="1">
        <v>0.40699999999999997</v>
      </c>
      <c r="O41" s="2">
        <f>M41-K41</f>
        <v>0.11199999999999999</v>
      </c>
      <c r="P41" s="2">
        <f>N41-L41</f>
        <v>0.13099999999999995</v>
      </c>
      <c r="Q41" s="2">
        <f>AVERAGE(O41,P41)</f>
        <v>0.12149999999999997</v>
      </c>
      <c r="R41" s="2">
        <f>Q41/4.2427*I41/J41</f>
        <v>6.5085055185698626E-2</v>
      </c>
      <c r="S41" s="2">
        <f t="shared" si="1"/>
        <v>0.65085055185698626</v>
      </c>
    </row>
    <row r="42" spans="1:19" s="2" customFormat="1" x14ac:dyDescent="0.35">
      <c r="A42" s="2">
        <v>20230606</v>
      </c>
      <c r="B42" s="2" t="s">
        <v>18</v>
      </c>
      <c r="C42" s="2" t="s">
        <v>43</v>
      </c>
      <c r="D42" s="2" t="s">
        <v>19</v>
      </c>
      <c r="E42" s="2" t="s">
        <v>27</v>
      </c>
      <c r="F42" s="1">
        <v>10</v>
      </c>
      <c r="I42" s="1">
        <v>0.25</v>
      </c>
      <c r="J42" s="1">
        <v>0.11</v>
      </c>
      <c r="K42" s="1">
        <v>0.28899999999999998</v>
      </c>
      <c r="L42" s="1">
        <v>0.311</v>
      </c>
      <c r="M42" s="1">
        <v>0.45500000000000002</v>
      </c>
      <c r="N42" s="1">
        <v>0.66500000000000004</v>
      </c>
      <c r="O42" s="2">
        <f>M42-K42</f>
        <v>0.16600000000000004</v>
      </c>
      <c r="P42" s="2">
        <f>N42-L42</f>
        <v>0.35400000000000004</v>
      </c>
      <c r="Q42" s="2">
        <f>AVERAGE(O42,P42)</f>
        <v>0.26</v>
      </c>
      <c r="R42" s="2">
        <f>Q42/4.2427*I42/J42</f>
        <v>0.13927666130272962</v>
      </c>
      <c r="S42" s="2">
        <f t="shared" si="1"/>
        <v>1.3927666130272962</v>
      </c>
    </row>
    <row r="43" spans="1:19" s="2" customFormat="1" x14ac:dyDescent="0.35">
      <c r="A43" s="2">
        <v>20230606</v>
      </c>
      <c r="B43" s="2" t="s">
        <v>18</v>
      </c>
      <c r="C43" s="2" t="s">
        <v>44</v>
      </c>
      <c r="D43" s="2" t="s">
        <v>19</v>
      </c>
      <c r="E43" s="2" t="s">
        <v>27</v>
      </c>
      <c r="F43" s="1">
        <v>10</v>
      </c>
      <c r="I43" s="1">
        <v>0.25</v>
      </c>
      <c r="J43" s="1">
        <v>0.11</v>
      </c>
      <c r="K43" s="1">
        <v>0.28000000000000003</v>
      </c>
      <c r="L43" s="1">
        <v>0.27800000000000002</v>
      </c>
      <c r="M43" s="1">
        <v>0.42499999999999999</v>
      </c>
      <c r="N43" s="1">
        <v>0.44</v>
      </c>
      <c r="O43" s="2">
        <f>M43-K43</f>
        <v>0.14499999999999996</v>
      </c>
      <c r="P43" s="2">
        <f>N43-L43</f>
        <v>0.16199999999999998</v>
      </c>
      <c r="Q43" s="2">
        <f>AVERAGE(O43,P43)</f>
        <v>0.15349999999999997</v>
      </c>
      <c r="R43" s="2">
        <f>Q43/4.2427*I43/J43</f>
        <v>8.2226798115265343E-2</v>
      </c>
      <c r="S43" s="2">
        <f t="shared" si="1"/>
        <v>0.82226798115265343</v>
      </c>
    </row>
    <row r="44" spans="1:19" s="2" customFormat="1" x14ac:dyDescent="0.35">
      <c r="A44" s="2">
        <v>20230606</v>
      </c>
      <c r="B44" s="2" t="s">
        <v>18</v>
      </c>
      <c r="C44" s="2" t="s">
        <v>45</v>
      </c>
      <c r="D44" s="2" t="s">
        <v>19</v>
      </c>
      <c r="E44" s="2" t="s">
        <v>27</v>
      </c>
      <c r="F44" s="1">
        <v>10</v>
      </c>
      <c r="I44" s="1">
        <v>0.25</v>
      </c>
      <c r="J44" s="1">
        <v>0.11</v>
      </c>
      <c r="K44" s="1">
        <v>0.29299999999999998</v>
      </c>
      <c r="L44" s="1">
        <v>0.30199999999999999</v>
      </c>
      <c r="M44" s="1">
        <v>0.53300000000000003</v>
      </c>
      <c r="N44" s="1">
        <v>0.55600000000000005</v>
      </c>
      <c r="O44" s="2">
        <f>M44-K44</f>
        <v>0.24000000000000005</v>
      </c>
      <c r="P44" s="2">
        <f>N44-L44</f>
        <v>0.25400000000000006</v>
      </c>
      <c r="Q44" s="2">
        <f>AVERAGE(O44,P44)</f>
        <v>0.24700000000000005</v>
      </c>
      <c r="R44" s="2">
        <f>Q44/4.2427*I44/J44</f>
        <v>0.13231282823759313</v>
      </c>
      <c r="S44" s="2">
        <f t="shared" si="1"/>
        <v>1.3231282823759314</v>
      </c>
    </row>
    <row r="45" spans="1:19" s="2" customFormat="1" x14ac:dyDescent="0.35">
      <c r="A45" s="2">
        <v>20230606</v>
      </c>
      <c r="B45" s="2" t="s">
        <v>18</v>
      </c>
      <c r="C45" s="2" t="s">
        <v>46</v>
      </c>
      <c r="D45" s="2" t="s">
        <v>19</v>
      </c>
      <c r="E45" s="2" t="s">
        <v>27</v>
      </c>
      <c r="F45" s="1">
        <v>10</v>
      </c>
      <c r="I45" s="1">
        <v>0.25</v>
      </c>
      <c r="J45" s="1">
        <v>0.11</v>
      </c>
      <c r="K45" s="1">
        <v>0.29599999999999999</v>
      </c>
      <c r="L45" s="1">
        <v>0.29299999999999998</v>
      </c>
      <c r="M45" s="1">
        <v>0.438</v>
      </c>
      <c r="N45" s="1">
        <v>0.39</v>
      </c>
      <c r="O45" s="2">
        <f>M45-K45</f>
        <v>0.14200000000000002</v>
      </c>
      <c r="P45" s="2">
        <f>N45-L45</f>
        <v>9.7000000000000031E-2</v>
      </c>
      <c r="Q45" s="2">
        <f>AVERAGE(O45,P45)</f>
        <v>0.11950000000000002</v>
      </c>
      <c r="R45" s="2">
        <f>Q45/4.2427*I45/J45</f>
        <v>6.4013696252600727E-2</v>
      </c>
      <c r="S45" s="2">
        <f t="shared" si="1"/>
        <v>0.64013696252600727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Orduña</vt:lpstr>
      <vt:lpstr>Gradiente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Enara Alday</dc:creator>
  <cp:lastModifiedBy>GUILLERMO DE JESUS LOPEZ CASTRO</cp:lastModifiedBy>
  <dcterms:created xsi:type="dcterms:W3CDTF">2023-08-04T06:24:34Z</dcterms:created>
  <dcterms:modified xsi:type="dcterms:W3CDTF">2023-08-09T15:40:28Z</dcterms:modified>
</cp:coreProperties>
</file>