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665" windowHeight="10290" activeTab="3"/>
  </bookViews>
  <sheets>
    <sheet name="Orduña" sheetId="1" r:id="rId1"/>
    <sheet name="Gradiente" sheetId="2" r:id="rId2"/>
    <sheet name="Orduña_orientaciones" sheetId="3" r:id="rId3"/>
    <sheet name="Pino_vallcebre" sheetId="4" r:id="rId4"/>
  </sheets>
  <definedNames>
    <definedName name="_xlnm._FilterDatabase" localSheetId="1" hidden="1">Gradiente!$A$1:$W$154</definedName>
    <definedName name="_xlnm._FilterDatabase" localSheetId="0" hidden="1">Orduña!$A$1:$W$96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4" l="1"/>
  <c r="T2" i="3"/>
  <c r="M2" i="4"/>
  <c r="S2" i="3"/>
  <c r="L2" i="4"/>
  <c r="R2" i="3"/>
  <c r="K3" i="4"/>
  <c r="L3" i="4" s="1"/>
  <c r="M3" i="4" s="1"/>
  <c r="K4" i="4"/>
  <c r="L4" i="4" s="1"/>
  <c r="M4" i="4" s="1"/>
  <c r="K5" i="4"/>
  <c r="L5" i="4"/>
  <c r="M5" i="4" s="1"/>
  <c r="K6" i="4"/>
  <c r="L6" i="4"/>
  <c r="M6" i="4"/>
  <c r="N6" i="4" s="1"/>
  <c r="K7" i="4"/>
  <c r="L7" i="4"/>
  <c r="M7" i="4"/>
  <c r="N7" i="4"/>
  <c r="O7" i="4"/>
  <c r="K8" i="4"/>
  <c r="L8" i="4" s="1"/>
  <c r="M8" i="4" s="1"/>
  <c r="K9" i="4"/>
  <c r="L9" i="4" s="1"/>
  <c r="M9" i="4" s="1"/>
  <c r="K10" i="4"/>
  <c r="L10" i="4" s="1"/>
  <c r="M10" i="4" s="1"/>
  <c r="K11" i="4"/>
  <c r="L11" i="4"/>
  <c r="M11" i="4" s="1"/>
  <c r="K12" i="4"/>
  <c r="L12" i="4"/>
  <c r="M12" i="4"/>
  <c r="N12" i="4" s="1"/>
  <c r="K13" i="4"/>
  <c r="L13" i="4"/>
  <c r="M13" i="4"/>
  <c r="N13" i="4"/>
  <c r="O13" i="4"/>
  <c r="K14" i="4"/>
  <c r="L14" i="4" s="1"/>
  <c r="M14" i="4" s="1"/>
  <c r="K15" i="4"/>
  <c r="L15" i="4" s="1"/>
  <c r="M15" i="4" s="1"/>
  <c r="K16" i="4"/>
  <c r="L16" i="4" s="1"/>
  <c r="M16" i="4" s="1"/>
  <c r="K17" i="4"/>
  <c r="L17" i="4"/>
  <c r="M17" i="4" s="1"/>
  <c r="K18" i="4"/>
  <c r="L18" i="4"/>
  <c r="M18" i="4"/>
  <c r="N18" i="4" s="1"/>
  <c r="K19" i="4"/>
  <c r="L19" i="4"/>
  <c r="M19" i="4"/>
  <c r="N19" i="4"/>
  <c r="O19" i="4"/>
  <c r="K20" i="4"/>
  <c r="L20" i="4" s="1"/>
  <c r="M20" i="4" s="1"/>
  <c r="K21" i="4"/>
  <c r="L21" i="4" s="1"/>
  <c r="M21" i="4" s="1"/>
  <c r="K22" i="4"/>
  <c r="L22" i="4" s="1"/>
  <c r="M22" i="4" s="1"/>
  <c r="K23" i="4"/>
  <c r="L23" i="4"/>
  <c r="M23" i="4" s="1"/>
  <c r="K24" i="4"/>
  <c r="L24" i="4"/>
  <c r="M24" i="4"/>
  <c r="O24" i="4" s="1"/>
  <c r="N24" i="4"/>
  <c r="K25" i="4"/>
  <c r="L25" i="4"/>
  <c r="M25" i="4"/>
  <c r="N25" i="4"/>
  <c r="O25" i="4"/>
  <c r="K26" i="4"/>
  <c r="L26" i="4" s="1"/>
  <c r="M26" i="4" s="1"/>
  <c r="K27" i="4"/>
  <c r="L27" i="4" s="1"/>
  <c r="M27" i="4" s="1"/>
  <c r="K28" i="4"/>
  <c r="L28" i="4"/>
  <c r="M28" i="4" s="1"/>
  <c r="K29" i="4"/>
  <c r="L29" i="4"/>
  <c r="M29" i="4"/>
  <c r="N29" i="4" s="1"/>
  <c r="K30" i="4"/>
  <c r="L30" i="4"/>
  <c r="M30" i="4"/>
  <c r="O30" i="4" s="1"/>
  <c r="N30" i="4"/>
  <c r="K31" i="4"/>
  <c r="L31" i="4"/>
  <c r="M31" i="4"/>
  <c r="N31" i="4"/>
  <c r="O31" i="4"/>
  <c r="O2" i="4"/>
  <c r="K2" i="4"/>
  <c r="J2" i="4"/>
  <c r="I2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29" i="4"/>
  <c r="J29" i="4"/>
  <c r="I30" i="4"/>
  <c r="J30" i="4"/>
  <c r="I31" i="4"/>
  <c r="J31" i="4"/>
  <c r="N14" i="4" l="1"/>
  <c r="O14" i="4"/>
  <c r="N27" i="4"/>
  <c r="O27" i="4"/>
  <c r="N17" i="4"/>
  <c r="O17" i="4"/>
  <c r="N4" i="4"/>
  <c r="O4" i="4"/>
  <c r="N23" i="4"/>
  <c r="O23" i="4"/>
  <c r="O28" i="4"/>
  <c r="N28" i="4"/>
  <c r="O9" i="4"/>
  <c r="N9" i="4"/>
  <c r="N8" i="4"/>
  <c r="O8" i="4"/>
  <c r="O3" i="4"/>
  <c r="N3" i="4"/>
  <c r="N26" i="4"/>
  <c r="O26" i="4"/>
  <c r="O22" i="4"/>
  <c r="N22" i="4"/>
  <c r="N11" i="4"/>
  <c r="O11" i="4"/>
  <c r="O21" i="4"/>
  <c r="N21" i="4"/>
  <c r="N16" i="4"/>
  <c r="O16" i="4"/>
  <c r="N5" i="4"/>
  <c r="O5" i="4"/>
  <c r="O20" i="4"/>
  <c r="N20" i="4"/>
  <c r="O15" i="4"/>
  <c r="N15" i="4"/>
  <c r="N10" i="4"/>
  <c r="O10" i="4"/>
  <c r="O29" i="4"/>
  <c r="O18" i="4"/>
  <c r="O12" i="4"/>
  <c r="O6" i="4"/>
  <c r="V3" i="3"/>
  <c r="V4" i="3"/>
  <c r="V5" i="3"/>
  <c r="V6" i="3"/>
  <c r="V7" i="3"/>
  <c r="V8" i="3"/>
  <c r="V9" i="3"/>
  <c r="V10" i="3"/>
  <c r="V11" i="3"/>
  <c r="V12" i="3"/>
  <c r="V13" i="3"/>
  <c r="V14" i="3"/>
  <c r="V2" i="3"/>
  <c r="Q75" i="2" l="1"/>
  <c r="P75" i="2"/>
  <c r="Q74" i="2"/>
  <c r="P74" i="2"/>
  <c r="Q73" i="2"/>
  <c r="P73" i="2"/>
  <c r="R73" i="2" s="1"/>
  <c r="S73" i="2" s="1"/>
  <c r="T73" i="2" s="1"/>
  <c r="U73" i="2" s="1"/>
  <c r="Q72" i="2"/>
  <c r="P72" i="2"/>
  <c r="R72" i="2" s="1"/>
  <c r="S72" i="2" s="1"/>
  <c r="T72" i="2" s="1"/>
  <c r="U72" i="2" s="1"/>
  <c r="Q71" i="2"/>
  <c r="P71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R149" i="2" s="1"/>
  <c r="S149" i="2" s="1"/>
  <c r="T149" i="2" s="1"/>
  <c r="U149" i="2" s="1"/>
  <c r="Q148" i="2"/>
  <c r="P148" i="2"/>
  <c r="Q147" i="2"/>
  <c r="P147" i="2"/>
  <c r="Q146" i="2"/>
  <c r="P146" i="2"/>
  <c r="R146" i="2" s="1"/>
  <c r="S146" i="2" s="1"/>
  <c r="T146" i="2" s="1"/>
  <c r="U146" i="2" s="1"/>
  <c r="Q145" i="2"/>
  <c r="P145" i="2"/>
  <c r="R145" i="2" s="1"/>
  <c r="S145" i="2" s="1"/>
  <c r="T145" i="2" s="1"/>
  <c r="U145" i="2" s="1"/>
  <c r="P14" i="3"/>
  <c r="O14" i="3"/>
  <c r="Q14" i="3" s="1"/>
  <c r="R14" i="3" s="1"/>
  <c r="S14" i="3" s="1"/>
  <c r="T14" i="3" s="1"/>
  <c r="P13" i="3"/>
  <c r="Q13" i="3" s="1"/>
  <c r="R13" i="3" s="1"/>
  <c r="S13" i="3" s="1"/>
  <c r="T13" i="3" s="1"/>
  <c r="O13" i="3"/>
  <c r="P12" i="3"/>
  <c r="O12" i="3"/>
  <c r="Q12" i="3" s="1"/>
  <c r="R12" i="3" s="1"/>
  <c r="S12" i="3" s="1"/>
  <c r="T12" i="3" s="1"/>
  <c r="P11" i="3"/>
  <c r="Q11" i="3" s="1"/>
  <c r="R11" i="3" s="1"/>
  <c r="S11" i="3" s="1"/>
  <c r="T11" i="3" s="1"/>
  <c r="O11" i="3"/>
  <c r="P10" i="3"/>
  <c r="O10" i="3"/>
  <c r="Q10" i="3" s="1"/>
  <c r="R10" i="3" s="1"/>
  <c r="S10" i="3" s="1"/>
  <c r="T10" i="3" s="1"/>
  <c r="P9" i="3"/>
  <c r="Q9" i="3" s="1"/>
  <c r="R9" i="3" s="1"/>
  <c r="S9" i="3" s="1"/>
  <c r="T9" i="3" s="1"/>
  <c r="O9" i="3"/>
  <c r="P8" i="3"/>
  <c r="O8" i="3"/>
  <c r="Q8" i="3" s="1"/>
  <c r="R8" i="3" s="1"/>
  <c r="S8" i="3" s="1"/>
  <c r="T8" i="3" s="1"/>
  <c r="Q7" i="3"/>
  <c r="R7" i="3" s="1"/>
  <c r="S7" i="3" s="1"/>
  <c r="T7" i="3" s="1"/>
  <c r="P7" i="3"/>
  <c r="O7" i="3"/>
  <c r="P6" i="3"/>
  <c r="O6" i="3"/>
  <c r="Q6" i="3" s="1"/>
  <c r="R6" i="3" s="1"/>
  <c r="S6" i="3" s="1"/>
  <c r="T6" i="3" s="1"/>
  <c r="P5" i="3"/>
  <c r="O5" i="3"/>
  <c r="P4" i="3"/>
  <c r="O4" i="3"/>
  <c r="Q4" i="3" s="1"/>
  <c r="R4" i="3" s="1"/>
  <c r="S4" i="3" s="1"/>
  <c r="T4" i="3" s="1"/>
  <c r="P3" i="3"/>
  <c r="O3" i="3"/>
  <c r="Q3" i="3" s="1"/>
  <c r="R3" i="3" s="1"/>
  <c r="S3" i="3" s="1"/>
  <c r="T3" i="3" s="1"/>
  <c r="P2" i="3"/>
  <c r="O2" i="3"/>
  <c r="V145" i="2" l="1"/>
  <c r="X145" i="2"/>
  <c r="W145" i="2"/>
  <c r="V146" i="2"/>
  <c r="W146" i="2"/>
  <c r="X146" i="2"/>
  <c r="V73" i="2"/>
  <c r="X73" i="2" s="1"/>
  <c r="W73" i="2"/>
  <c r="V72" i="2"/>
  <c r="X72" i="2" s="1"/>
  <c r="W72" i="2"/>
  <c r="V149" i="2"/>
  <c r="W149" i="2"/>
  <c r="X149" i="2"/>
  <c r="R75" i="2"/>
  <c r="S75" i="2" s="1"/>
  <c r="T75" i="2" s="1"/>
  <c r="U75" i="2" s="1"/>
  <c r="R74" i="2"/>
  <c r="S74" i="2" s="1"/>
  <c r="T74" i="2" s="1"/>
  <c r="U74" i="2" s="1"/>
  <c r="R71" i="2"/>
  <c r="S71" i="2" s="1"/>
  <c r="T71" i="2" s="1"/>
  <c r="U71" i="2" s="1"/>
  <c r="R151" i="2"/>
  <c r="S151" i="2" s="1"/>
  <c r="T151" i="2" s="1"/>
  <c r="U151" i="2" s="1"/>
  <c r="R153" i="2"/>
  <c r="S153" i="2" s="1"/>
  <c r="T153" i="2" s="1"/>
  <c r="U153" i="2" s="1"/>
  <c r="R147" i="2"/>
  <c r="S147" i="2" s="1"/>
  <c r="T147" i="2" s="1"/>
  <c r="U147" i="2" s="1"/>
  <c r="R148" i="2"/>
  <c r="S148" i="2" s="1"/>
  <c r="T148" i="2" s="1"/>
  <c r="U148" i="2" s="1"/>
  <c r="R152" i="2"/>
  <c r="S152" i="2" s="1"/>
  <c r="T152" i="2" s="1"/>
  <c r="U152" i="2" s="1"/>
  <c r="R150" i="2"/>
  <c r="S150" i="2" s="1"/>
  <c r="T150" i="2" s="1"/>
  <c r="U150" i="2" s="1"/>
  <c r="R154" i="2"/>
  <c r="S154" i="2" s="1"/>
  <c r="T154" i="2" s="1"/>
  <c r="U154" i="2" s="1"/>
  <c r="Q2" i="3"/>
  <c r="Q5" i="3"/>
  <c r="R5" i="3" s="1"/>
  <c r="S5" i="3" s="1"/>
  <c r="T5" i="3" s="1"/>
  <c r="P50" i="1"/>
  <c r="V154" i="2" l="1"/>
  <c r="W154" i="2"/>
  <c r="X154" i="2"/>
  <c r="V150" i="2"/>
  <c r="X150" i="2"/>
  <c r="W150" i="2"/>
  <c r="V148" i="2"/>
  <c r="W148" i="2"/>
  <c r="X148" i="2"/>
  <c r="V74" i="2"/>
  <c r="X74" i="2" s="1"/>
  <c r="W74" i="2"/>
  <c r="V75" i="2"/>
  <c r="X75" i="2" s="1"/>
  <c r="W75" i="2"/>
  <c r="V147" i="2"/>
  <c r="W147" i="2"/>
  <c r="X147" i="2"/>
  <c r="V151" i="2"/>
  <c r="X151" i="2"/>
  <c r="W151" i="2"/>
  <c r="V71" i="2"/>
  <c r="X71" i="2" s="1"/>
  <c r="W71" i="2"/>
  <c r="V152" i="2"/>
  <c r="X152" i="2"/>
  <c r="W152" i="2"/>
  <c r="V153" i="2"/>
  <c r="X153" i="2"/>
  <c r="W153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P3" i="2"/>
  <c r="P4" i="2"/>
  <c r="P5" i="2"/>
  <c r="R5" i="2" s="1"/>
  <c r="S5" i="2" s="1"/>
  <c r="T5" i="2" s="1"/>
  <c r="U5" i="2" s="1"/>
  <c r="P6" i="2"/>
  <c r="P7" i="2"/>
  <c r="P8" i="2"/>
  <c r="P9" i="2"/>
  <c r="R9" i="2" s="1"/>
  <c r="S9" i="2" s="1"/>
  <c r="T9" i="2" s="1"/>
  <c r="U9" i="2" s="1"/>
  <c r="P10" i="2"/>
  <c r="P11" i="2"/>
  <c r="P12" i="2"/>
  <c r="P13" i="2"/>
  <c r="R13" i="2" s="1"/>
  <c r="S13" i="2" s="1"/>
  <c r="T13" i="2" s="1"/>
  <c r="U13" i="2" s="1"/>
  <c r="P14" i="2"/>
  <c r="P15" i="2"/>
  <c r="P16" i="2"/>
  <c r="P17" i="2"/>
  <c r="R17" i="2" s="1"/>
  <c r="S17" i="2" s="1"/>
  <c r="T17" i="2" s="1"/>
  <c r="U17" i="2" s="1"/>
  <c r="P18" i="2"/>
  <c r="P19" i="2"/>
  <c r="P20" i="2"/>
  <c r="P21" i="2"/>
  <c r="R21" i="2" s="1"/>
  <c r="S21" i="2" s="1"/>
  <c r="T21" i="2" s="1"/>
  <c r="U21" i="2" s="1"/>
  <c r="P22" i="2"/>
  <c r="P23" i="2"/>
  <c r="P24" i="2"/>
  <c r="P25" i="2"/>
  <c r="R25" i="2" s="1"/>
  <c r="S25" i="2" s="1"/>
  <c r="T25" i="2" s="1"/>
  <c r="U25" i="2" s="1"/>
  <c r="P26" i="2"/>
  <c r="P27" i="2"/>
  <c r="P28" i="2"/>
  <c r="P29" i="2"/>
  <c r="R29" i="2" s="1"/>
  <c r="S29" i="2" s="1"/>
  <c r="T29" i="2" s="1"/>
  <c r="U29" i="2" s="1"/>
  <c r="P30" i="2"/>
  <c r="P31" i="2"/>
  <c r="P32" i="2"/>
  <c r="P33" i="2"/>
  <c r="R33" i="2" s="1"/>
  <c r="S33" i="2" s="1"/>
  <c r="T33" i="2" s="1"/>
  <c r="U33" i="2" s="1"/>
  <c r="P34" i="2"/>
  <c r="P35" i="2"/>
  <c r="P36" i="2"/>
  <c r="P37" i="2"/>
  <c r="R37" i="2" s="1"/>
  <c r="S37" i="2" s="1"/>
  <c r="T37" i="2" s="1"/>
  <c r="U37" i="2" s="1"/>
  <c r="P38" i="2"/>
  <c r="P39" i="2"/>
  <c r="P40" i="2"/>
  <c r="P41" i="2"/>
  <c r="P42" i="2"/>
  <c r="P43" i="2"/>
  <c r="P44" i="2"/>
  <c r="P45" i="2"/>
  <c r="R45" i="2" s="1"/>
  <c r="S45" i="2" s="1"/>
  <c r="T45" i="2" s="1"/>
  <c r="U45" i="2" s="1"/>
  <c r="P46" i="2"/>
  <c r="P47" i="2"/>
  <c r="P48" i="2"/>
  <c r="P49" i="2"/>
  <c r="R49" i="2" s="1"/>
  <c r="S49" i="2" s="1"/>
  <c r="T49" i="2" s="1"/>
  <c r="U49" i="2" s="1"/>
  <c r="P50" i="2"/>
  <c r="P51" i="2"/>
  <c r="P52" i="2"/>
  <c r="P53" i="2"/>
  <c r="R53" i="2" s="1"/>
  <c r="S53" i="2" s="1"/>
  <c r="T53" i="2" s="1"/>
  <c r="U53" i="2" s="1"/>
  <c r="P54" i="2"/>
  <c r="P55" i="2"/>
  <c r="P56" i="2"/>
  <c r="P57" i="2"/>
  <c r="R57" i="2" s="1"/>
  <c r="S57" i="2" s="1"/>
  <c r="T57" i="2" s="1"/>
  <c r="U57" i="2" s="1"/>
  <c r="P58" i="2"/>
  <c r="P59" i="2"/>
  <c r="P60" i="2"/>
  <c r="P61" i="2"/>
  <c r="R61" i="2" s="1"/>
  <c r="S61" i="2" s="1"/>
  <c r="T61" i="2" s="1"/>
  <c r="U61" i="2" s="1"/>
  <c r="P62" i="2"/>
  <c r="P63" i="2"/>
  <c r="P64" i="2"/>
  <c r="P65" i="2"/>
  <c r="R65" i="2" s="1"/>
  <c r="S65" i="2" s="1"/>
  <c r="T65" i="2" s="1"/>
  <c r="U65" i="2" s="1"/>
  <c r="P66" i="2"/>
  <c r="P67" i="2"/>
  <c r="P68" i="2"/>
  <c r="P69" i="2"/>
  <c r="R69" i="2" s="1"/>
  <c r="S69" i="2" s="1"/>
  <c r="T69" i="2" s="1"/>
  <c r="U69" i="2" s="1"/>
  <c r="P70" i="2"/>
  <c r="P76" i="2"/>
  <c r="P77" i="2"/>
  <c r="P78" i="2"/>
  <c r="P79" i="2"/>
  <c r="P80" i="2"/>
  <c r="P81" i="2"/>
  <c r="P82" i="2"/>
  <c r="R82" i="2" s="1"/>
  <c r="S82" i="2" s="1"/>
  <c r="T82" i="2" s="1"/>
  <c r="U82" i="2" s="1"/>
  <c r="P83" i="2"/>
  <c r="P84" i="2"/>
  <c r="P85" i="2"/>
  <c r="P86" i="2"/>
  <c r="R86" i="2" s="1"/>
  <c r="S86" i="2" s="1"/>
  <c r="T86" i="2" s="1"/>
  <c r="U86" i="2" s="1"/>
  <c r="P87" i="2"/>
  <c r="P88" i="2"/>
  <c r="P89" i="2"/>
  <c r="P90" i="2"/>
  <c r="R90" i="2" s="1"/>
  <c r="S90" i="2" s="1"/>
  <c r="T90" i="2" s="1"/>
  <c r="U90" i="2" s="1"/>
  <c r="P91" i="2"/>
  <c r="P92" i="2"/>
  <c r="P93" i="2"/>
  <c r="P94" i="2"/>
  <c r="R94" i="2" s="1"/>
  <c r="S94" i="2" s="1"/>
  <c r="T94" i="2" s="1"/>
  <c r="U94" i="2" s="1"/>
  <c r="P95" i="2"/>
  <c r="P96" i="2"/>
  <c r="P97" i="2"/>
  <c r="P98" i="2"/>
  <c r="R98" i="2" s="1"/>
  <c r="S98" i="2" s="1"/>
  <c r="T98" i="2" s="1"/>
  <c r="U98" i="2" s="1"/>
  <c r="P99" i="2"/>
  <c r="P100" i="2"/>
  <c r="P101" i="2"/>
  <c r="P102" i="2"/>
  <c r="R102" i="2" s="1"/>
  <c r="S102" i="2" s="1"/>
  <c r="T102" i="2" s="1"/>
  <c r="U102" i="2" s="1"/>
  <c r="P103" i="2"/>
  <c r="P104" i="2"/>
  <c r="P105" i="2"/>
  <c r="P106" i="2"/>
  <c r="R106" i="2" s="1"/>
  <c r="S106" i="2" s="1"/>
  <c r="T106" i="2" s="1"/>
  <c r="U106" i="2" s="1"/>
  <c r="P107" i="2"/>
  <c r="P108" i="2"/>
  <c r="P109" i="2"/>
  <c r="P110" i="2"/>
  <c r="R110" i="2" s="1"/>
  <c r="S110" i="2" s="1"/>
  <c r="T110" i="2" s="1"/>
  <c r="U110" i="2" s="1"/>
  <c r="P111" i="2"/>
  <c r="P112" i="2"/>
  <c r="P113" i="2"/>
  <c r="P114" i="2"/>
  <c r="R114" i="2" s="1"/>
  <c r="S114" i="2" s="1"/>
  <c r="T114" i="2" s="1"/>
  <c r="U114" i="2" s="1"/>
  <c r="P115" i="2"/>
  <c r="P116" i="2"/>
  <c r="P117" i="2"/>
  <c r="P118" i="2"/>
  <c r="R118" i="2" s="1"/>
  <c r="S118" i="2" s="1"/>
  <c r="T118" i="2" s="1"/>
  <c r="U118" i="2" s="1"/>
  <c r="P119" i="2"/>
  <c r="P120" i="2"/>
  <c r="P121" i="2"/>
  <c r="P122" i="2"/>
  <c r="R122" i="2" s="1"/>
  <c r="S122" i="2" s="1"/>
  <c r="T122" i="2" s="1"/>
  <c r="U122" i="2" s="1"/>
  <c r="P123" i="2"/>
  <c r="P124" i="2"/>
  <c r="P125" i="2"/>
  <c r="P126" i="2"/>
  <c r="R126" i="2" s="1"/>
  <c r="S126" i="2" s="1"/>
  <c r="T126" i="2" s="1"/>
  <c r="U126" i="2" s="1"/>
  <c r="P127" i="2"/>
  <c r="P128" i="2"/>
  <c r="P129" i="2"/>
  <c r="P130" i="2"/>
  <c r="R130" i="2" s="1"/>
  <c r="S130" i="2" s="1"/>
  <c r="T130" i="2" s="1"/>
  <c r="U130" i="2" s="1"/>
  <c r="P131" i="2"/>
  <c r="P132" i="2"/>
  <c r="P133" i="2"/>
  <c r="P134" i="2"/>
  <c r="R134" i="2" s="1"/>
  <c r="S134" i="2" s="1"/>
  <c r="T134" i="2" s="1"/>
  <c r="U134" i="2" s="1"/>
  <c r="P135" i="2"/>
  <c r="P136" i="2"/>
  <c r="P137" i="2"/>
  <c r="P138" i="2"/>
  <c r="R138" i="2" s="1"/>
  <c r="S138" i="2" s="1"/>
  <c r="T138" i="2" s="1"/>
  <c r="U138" i="2" s="1"/>
  <c r="P139" i="2"/>
  <c r="P140" i="2"/>
  <c r="P141" i="2"/>
  <c r="P142" i="2"/>
  <c r="R142" i="2" s="1"/>
  <c r="S142" i="2" s="1"/>
  <c r="T142" i="2" s="1"/>
  <c r="U142" i="2" s="1"/>
  <c r="P143" i="2"/>
  <c r="P144" i="2"/>
  <c r="Q2" i="2"/>
  <c r="P2" i="2"/>
  <c r="R2" i="2" s="1"/>
  <c r="S2" i="2" s="1"/>
  <c r="T2" i="2" s="1"/>
  <c r="U2" i="2" s="1"/>
  <c r="V13" i="2" l="1"/>
  <c r="X13" i="2" s="1"/>
  <c r="W13" i="2"/>
  <c r="V106" i="2"/>
  <c r="X106" i="2"/>
  <c r="W106" i="2"/>
  <c r="V69" i="2"/>
  <c r="X69" i="2" s="1"/>
  <c r="W69" i="2"/>
  <c r="V90" i="2"/>
  <c r="W90" i="2"/>
  <c r="X90" i="2"/>
  <c r="V126" i="2"/>
  <c r="X126" i="2"/>
  <c r="W126" i="2"/>
  <c r="V86" i="2"/>
  <c r="X86" i="2"/>
  <c r="W86" i="2"/>
  <c r="V49" i="2"/>
  <c r="X49" i="2" s="1"/>
  <c r="W49" i="2"/>
  <c r="V33" i="2"/>
  <c r="X33" i="2" s="1"/>
  <c r="W33" i="2"/>
  <c r="V25" i="2"/>
  <c r="X25" i="2" s="1"/>
  <c r="W25" i="2"/>
  <c r="V9" i="2"/>
  <c r="X9" i="2" s="1"/>
  <c r="W9" i="2"/>
  <c r="V122" i="2"/>
  <c r="X122" i="2"/>
  <c r="W122" i="2"/>
  <c r="V82" i="2"/>
  <c r="X82" i="2"/>
  <c r="W82" i="2"/>
  <c r="V45" i="2"/>
  <c r="X45" i="2" s="1"/>
  <c r="W45" i="2"/>
  <c r="V142" i="2"/>
  <c r="X142" i="2"/>
  <c r="W142" i="2"/>
  <c r="V118" i="2"/>
  <c r="W118" i="2"/>
  <c r="X118" i="2"/>
  <c r="V65" i="2"/>
  <c r="X65" i="2" s="1"/>
  <c r="W65" i="2"/>
  <c r="V138" i="2"/>
  <c r="W138" i="2"/>
  <c r="X138" i="2"/>
  <c r="V98" i="2"/>
  <c r="X98" i="2"/>
  <c r="W98" i="2"/>
  <c r="V61" i="2"/>
  <c r="X61" i="2" s="1"/>
  <c r="W61" i="2"/>
  <c r="V29" i="2"/>
  <c r="X29" i="2" s="1"/>
  <c r="W29" i="2"/>
  <c r="V134" i="2"/>
  <c r="X134" i="2"/>
  <c r="W134" i="2"/>
  <c r="V102" i="2"/>
  <c r="X102" i="2"/>
  <c r="W102" i="2"/>
  <c r="R140" i="2"/>
  <c r="S140" i="2" s="1"/>
  <c r="T140" i="2" s="1"/>
  <c r="U140" i="2" s="1"/>
  <c r="R132" i="2"/>
  <c r="S132" i="2" s="1"/>
  <c r="T132" i="2" s="1"/>
  <c r="U132" i="2" s="1"/>
  <c r="R124" i="2"/>
  <c r="S124" i="2" s="1"/>
  <c r="T124" i="2" s="1"/>
  <c r="U124" i="2" s="1"/>
  <c r="R116" i="2"/>
  <c r="S116" i="2" s="1"/>
  <c r="T116" i="2" s="1"/>
  <c r="U116" i="2" s="1"/>
  <c r="R108" i="2"/>
  <c r="S108" i="2" s="1"/>
  <c r="T108" i="2" s="1"/>
  <c r="U108" i="2" s="1"/>
  <c r="R100" i="2"/>
  <c r="S100" i="2" s="1"/>
  <c r="T100" i="2" s="1"/>
  <c r="U100" i="2" s="1"/>
  <c r="R92" i="2"/>
  <c r="S92" i="2" s="1"/>
  <c r="T92" i="2" s="1"/>
  <c r="U92" i="2" s="1"/>
  <c r="R84" i="2"/>
  <c r="S84" i="2" s="1"/>
  <c r="T84" i="2" s="1"/>
  <c r="U84" i="2" s="1"/>
  <c r="R76" i="2"/>
  <c r="S76" i="2" s="1"/>
  <c r="T76" i="2" s="1"/>
  <c r="U76" i="2" s="1"/>
  <c r="R55" i="2"/>
  <c r="S55" i="2" s="1"/>
  <c r="T55" i="2" s="1"/>
  <c r="U55" i="2" s="1"/>
  <c r="R47" i="2"/>
  <c r="S47" i="2" s="1"/>
  <c r="T47" i="2" s="1"/>
  <c r="U47" i="2" s="1"/>
  <c r="R39" i="2"/>
  <c r="S39" i="2" s="1"/>
  <c r="T39" i="2" s="1"/>
  <c r="U39" i="2" s="1"/>
  <c r="R23" i="2"/>
  <c r="S23" i="2" s="1"/>
  <c r="T23" i="2" s="1"/>
  <c r="U23" i="2" s="1"/>
  <c r="R15" i="2"/>
  <c r="S15" i="2" s="1"/>
  <c r="T15" i="2" s="1"/>
  <c r="U15" i="2" s="1"/>
  <c r="R7" i="2"/>
  <c r="S7" i="2" s="1"/>
  <c r="T7" i="2" s="1"/>
  <c r="U7" i="2" s="1"/>
  <c r="R31" i="2"/>
  <c r="S31" i="2" s="1"/>
  <c r="T31" i="2" s="1"/>
  <c r="U31" i="2" s="1"/>
  <c r="R63" i="2"/>
  <c r="S63" i="2" s="1"/>
  <c r="T63" i="2" s="1"/>
  <c r="U63" i="2" s="1"/>
  <c r="R137" i="2"/>
  <c r="S137" i="2" s="1"/>
  <c r="T137" i="2" s="1"/>
  <c r="U137" i="2" s="1"/>
  <c r="R11" i="2"/>
  <c r="S11" i="2" s="1"/>
  <c r="T11" i="2" s="1"/>
  <c r="U11" i="2" s="1"/>
  <c r="R3" i="2"/>
  <c r="S3" i="2" s="1"/>
  <c r="T3" i="2" s="1"/>
  <c r="U3" i="2" s="1"/>
  <c r="R78" i="2"/>
  <c r="S78" i="2" s="1"/>
  <c r="T78" i="2" s="1"/>
  <c r="U78" i="2" s="1"/>
  <c r="V78" i="2" s="1"/>
  <c r="R144" i="2"/>
  <c r="S144" i="2" s="1"/>
  <c r="T144" i="2" s="1"/>
  <c r="U144" i="2" s="1"/>
  <c r="R136" i="2"/>
  <c r="S136" i="2" s="1"/>
  <c r="T136" i="2" s="1"/>
  <c r="U136" i="2" s="1"/>
  <c r="R128" i="2"/>
  <c r="S128" i="2" s="1"/>
  <c r="T128" i="2" s="1"/>
  <c r="U128" i="2" s="1"/>
  <c r="V128" i="2" s="1"/>
  <c r="R120" i="2"/>
  <c r="S120" i="2" s="1"/>
  <c r="T120" i="2" s="1"/>
  <c r="U120" i="2" s="1"/>
  <c r="R112" i="2"/>
  <c r="S112" i="2" s="1"/>
  <c r="T112" i="2" s="1"/>
  <c r="U112" i="2" s="1"/>
  <c r="V112" i="2" s="1"/>
  <c r="R104" i="2"/>
  <c r="S104" i="2" s="1"/>
  <c r="T104" i="2" s="1"/>
  <c r="U104" i="2" s="1"/>
  <c r="R96" i="2"/>
  <c r="S96" i="2" s="1"/>
  <c r="T96" i="2" s="1"/>
  <c r="U96" i="2" s="1"/>
  <c r="V96" i="2" s="1"/>
  <c r="R88" i="2"/>
  <c r="S88" i="2" s="1"/>
  <c r="T88" i="2" s="1"/>
  <c r="U88" i="2" s="1"/>
  <c r="R80" i="2"/>
  <c r="S80" i="2" s="1"/>
  <c r="T80" i="2" s="1"/>
  <c r="U80" i="2" s="1"/>
  <c r="V80" i="2" s="1"/>
  <c r="R67" i="2"/>
  <c r="S67" i="2" s="1"/>
  <c r="T67" i="2" s="1"/>
  <c r="U67" i="2" s="1"/>
  <c r="R59" i="2"/>
  <c r="S59" i="2" s="1"/>
  <c r="T59" i="2" s="1"/>
  <c r="U59" i="2" s="1"/>
  <c r="R51" i="2"/>
  <c r="S51" i="2" s="1"/>
  <c r="T51" i="2" s="1"/>
  <c r="U51" i="2" s="1"/>
  <c r="R43" i="2"/>
  <c r="S43" i="2" s="1"/>
  <c r="T43" i="2" s="1"/>
  <c r="U43" i="2" s="1"/>
  <c r="R35" i="2"/>
  <c r="S35" i="2" s="1"/>
  <c r="T35" i="2" s="1"/>
  <c r="U35" i="2" s="1"/>
  <c r="V35" i="2" s="1"/>
  <c r="R27" i="2"/>
  <c r="S27" i="2" s="1"/>
  <c r="T27" i="2" s="1"/>
  <c r="U27" i="2" s="1"/>
  <c r="R19" i="2"/>
  <c r="S19" i="2" s="1"/>
  <c r="T19" i="2" s="1"/>
  <c r="U19" i="2" s="1"/>
  <c r="V19" i="2" s="1"/>
  <c r="R125" i="2"/>
  <c r="S125" i="2" s="1"/>
  <c r="T125" i="2" s="1"/>
  <c r="U125" i="2" s="1"/>
  <c r="R41" i="2"/>
  <c r="S41" i="2" s="1"/>
  <c r="T41" i="2" s="1"/>
  <c r="U41" i="2" s="1"/>
  <c r="R119" i="2"/>
  <c r="S119" i="2" s="1"/>
  <c r="T119" i="2" s="1"/>
  <c r="U119" i="2" s="1"/>
  <c r="V132" i="2"/>
  <c r="W132" i="2"/>
  <c r="V92" i="2"/>
  <c r="W92" i="2"/>
  <c r="R139" i="2"/>
  <c r="S139" i="2" s="1"/>
  <c r="T139" i="2" s="1"/>
  <c r="U139" i="2" s="1"/>
  <c r="R131" i="2"/>
  <c r="S131" i="2" s="1"/>
  <c r="T131" i="2" s="1"/>
  <c r="U131" i="2" s="1"/>
  <c r="R123" i="2"/>
  <c r="S123" i="2" s="1"/>
  <c r="T123" i="2" s="1"/>
  <c r="U123" i="2" s="1"/>
  <c r="R115" i="2"/>
  <c r="S115" i="2" s="1"/>
  <c r="T115" i="2" s="1"/>
  <c r="U115" i="2" s="1"/>
  <c r="R107" i="2"/>
  <c r="S107" i="2" s="1"/>
  <c r="T107" i="2" s="1"/>
  <c r="U107" i="2" s="1"/>
  <c r="R99" i="2"/>
  <c r="S99" i="2" s="1"/>
  <c r="T99" i="2" s="1"/>
  <c r="U99" i="2" s="1"/>
  <c r="R91" i="2"/>
  <c r="S91" i="2" s="1"/>
  <c r="T91" i="2" s="1"/>
  <c r="U91" i="2" s="1"/>
  <c r="R83" i="2"/>
  <c r="S83" i="2" s="1"/>
  <c r="T83" i="2" s="1"/>
  <c r="U83" i="2" s="1"/>
  <c r="R70" i="2"/>
  <c r="S70" i="2" s="1"/>
  <c r="T70" i="2" s="1"/>
  <c r="U70" i="2" s="1"/>
  <c r="R62" i="2"/>
  <c r="S62" i="2" s="1"/>
  <c r="T62" i="2" s="1"/>
  <c r="U62" i="2" s="1"/>
  <c r="R54" i="2"/>
  <c r="S54" i="2" s="1"/>
  <c r="T54" i="2" s="1"/>
  <c r="U54" i="2" s="1"/>
  <c r="R46" i="2"/>
  <c r="S46" i="2" s="1"/>
  <c r="T46" i="2" s="1"/>
  <c r="U46" i="2" s="1"/>
  <c r="R38" i="2"/>
  <c r="S38" i="2" s="1"/>
  <c r="T38" i="2" s="1"/>
  <c r="U38" i="2" s="1"/>
  <c r="R30" i="2"/>
  <c r="S30" i="2" s="1"/>
  <c r="T30" i="2" s="1"/>
  <c r="U30" i="2" s="1"/>
  <c r="R22" i="2"/>
  <c r="S22" i="2" s="1"/>
  <c r="T22" i="2" s="1"/>
  <c r="U22" i="2" s="1"/>
  <c r="R14" i="2"/>
  <c r="S14" i="2" s="1"/>
  <c r="T14" i="2" s="1"/>
  <c r="U14" i="2" s="1"/>
  <c r="R6" i="2"/>
  <c r="S6" i="2" s="1"/>
  <c r="T6" i="2" s="1"/>
  <c r="U6" i="2" s="1"/>
  <c r="V6" i="2" s="1"/>
  <c r="V130" i="2"/>
  <c r="W130" i="2"/>
  <c r="V37" i="2"/>
  <c r="W37" i="2"/>
  <c r="V39" i="2"/>
  <c r="W39" i="2"/>
  <c r="V76" i="2"/>
  <c r="W76" i="2"/>
  <c r="V53" i="2"/>
  <c r="W53" i="2"/>
  <c r="V21" i="2"/>
  <c r="W21" i="2"/>
  <c r="V114" i="2"/>
  <c r="W114" i="2"/>
  <c r="V57" i="2"/>
  <c r="W57" i="2"/>
  <c r="V17" i="2"/>
  <c r="W17" i="2"/>
  <c r="V55" i="2"/>
  <c r="W55" i="2"/>
  <c r="V110" i="2"/>
  <c r="W110" i="2"/>
  <c r="V94" i="2"/>
  <c r="W94" i="2"/>
  <c r="R143" i="2"/>
  <c r="S143" i="2" s="1"/>
  <c r="T143" i="2" s="1"/>
  <c r="U143" i="2" s="1"/>
  <c r="R135" i="2"/>
  <c r="S135" i="2" s="1"/>
  <c r="T135" i="2" s="1"/>
  <c r="U135" i="2" s="1"/>
  <c r="R127" i="2"/>
  <c r="S127" i="2" s="1"/>
  <c r="T127" i="2" s="1"/>
  <c r="U127" i="2" s="1"/>
  <c r="R111" i="2"/>
  <c r="S111" i="2" s="1"/>
  <c r="T111" i="2" s="1"/>
  <c r="U111" i="2" s="1"/>
  <c r="R103" i="2"/>
  <c r="S103" i="2" s="1"/>
  <c r="T103" i="2" s="1"/>
  <c r="U103" i="2" s="1"/>
  <c r="R95" i="2"/>
  <c r="S95" i="2" s="1"/>
  <c r="T95" i="2" s="1"/>
  <c r="U95" i="2" s="1"/>
  <c r="R87" i="2"/>
  <c r="S87" i="2" s="1"/>
  <c r="T87" i="2" s="1"/>
  <c r="U87" i="2" s="1"/>
  <c r="R79" i="2"/>
  <c r="S79" i="2" s="1"/>
  <c r="T79" i="2" s="1"/>
  <c r="U79" i="2" s="1"/>
  <c r="R66" i="2"/>
  <c r="S66" i="2" s="1"/>
  <c r="T66" i="2" s="1"/>
  <c r="U66" i="2" s="1"/>
  <c r="R58" i="2"/>
  <c r="S58" i="2" s="1"/>
  <c r="T58" i="2" s="1"/>
  <c r="U58" i="2" s="1"/>
  <c r="R50" i="2"/>
  <c r="S50" i="2" s="1"/>
  <c r="T50" i="2" s="1"/>
  <c r="U50" i="2" s="1"/>
  <c r="R42" i="2"/>
  <c r="S42" i="2" s="1"/>
  <c r="T42" i="2" s="1"/>
  <c r="U42" i="2" s="1"/>
  <c r="R34" i="2"/>
  <c r="S34" i="2" s="1"/>
  <c r="T34" i="2" s="1"/>
  <c r="U34" i="2" s="1"/>
  <c r="R26" i="2"/>
  <c r="S26" i="2" s="1"/>
  <c r="T26" i="2" s="1"/>
  <c r="U26" i="2" s="1"/>
  <c r="R18" i="2"/>
  <c r="S18" i="2" s="1"/>
  <c r="T18" i="2" s="1"/>
  <c r="U18" i="2" s="1"/>
  <c r="R10" i="2"/>
  <c r="S10" i="2" s="1"/>
  <c r="T10" i="2" s="1"/>
  <c r="U10" i="2" s="1"/>
  <c r="R141" i="2"/>
  <c r="S141" i="2" s="1"/>
  <c r="T141" i="2" s="1"/>
  <c r="U141" i="2" s="1"/>
  <c r="R133" i="2"/>
  <c r="S133" i="2" s="1"/>
  <c r="T133" i="2" s="1"/>
  <c r="U133" i="2" s="1"/>
  <c r="R117" i="2"/>
  <c r="S117" i="2" s="1"/>
  <c r="T117" i="2" s="1"/>
  <c r="U117" i="2" s="1"/>
  <c r="R109" i="2"/>
  <c r="S109" i="2" s="1"/>
  <c r="T109" i="2" s="1"/>
  <c r="U109" i="2" s="1"/>
  <c r="R101" i="2"/>
  <c r="S101" i="2" s="1"/>
  <c r="T101" i="2" s="1"/>
  <c r="U101" i="2" s="1"/>
  <c r="R93" i="2"/>
  <c r="S93" i="2" s="1"/>
  <c r="T93" i="2" s="1"/>
  <c r="U93" i="2" s="1"/>
  <c r="R85" i="2"/>
  <c r="S85" i="2" s="1"/>
  <c r="T85" i="2" s="1"/>
  <c r="U85" i="2" s="1"/>
  <c r="R77" i="2"/>
  <c r="S77" i="2" s="1"/>
  <c r="T77" i="2" s="1"/>
  <c r="U77" i="2" s="1"/>
  <c r="R64" i="2"/>
  <c r="S64" i="2" s="1"/>
  <c r="T64" i="2" s="1"/>
  <c r="U64" i="2" s="1"/>
  <c r="R56" i="2"/>
  <c r="S56" i="2" s="1"/>
  <c r="T56" i="2" s="1"/>
  <c r="U56" i="2" s="1"/>
  <c r="R48" i="2"/>
  <c r="S48" i="2" s="1"/>
  <c r="T48" i="2" s="1"/>
  <c r="U48" i="2" s="1"/>
  <c r="R40" i="2"/>
  <c r="S40" i="2" s="1"/>
  <c r="T40" i="2" s="1"/>
  <c r="U40" i="2" s="1"/>
  <c r="R32" i="2"/>
  <c r="S32" i="2" s="1"/>
  <c r="T32" i="2" s="1"/>
  <c r="U32" i="2" s="1"/>
  <c r="R24" i="2"/>
  <c r="S24" i="2" s="1"/>
  <c r="T24" i="2" s="1"/>
  <c r="U24" i="2" s="1"/>
  <c r="R16" i="2"/>
  <c r="S16" i="2" s="1"/>
  <c r="T16" i="2" s="1"/>
  <c r="U16" i="2" s="1"/>
  <c r="R8" i="2"/>
  <c r="S8" i="2" s="1"/>
  <c r="T8" i="2" s="1"/>
  <c r="U8" i="2" s="1"/>
  <c r="W3" i="2"/>
  <c r="V3" i="2"/>
  <c r="V2" i="2"/>
  <c r="W2" i="2"/>
  <c r="W5" i="2"/>
  <c r="V5" i="2"/>
  <c r="R129" i="2"/>
  <c r="S129" i="2" s="1"/>
  <c r="T129" i="2" s="1"/>
  <c r="U129" i="2" s="1"/>
  <c r="R121" i="2"/>
  <c r="S121" i="2" s="1"/>
  <c r="T121" i="2" s="1"/>
  <c r="U121" i="2" s="1"/>
  <c r="R113" i="2"/>
  <c r="S113" i="2" s="1"/>
  <c r="T113" i="2" s="1"/>
  <c r="U113" i="2" s="1"/>
  <c r="R105" i="2"/>
  <c r="S105" i="2" s="1"/>
  <c r="T105" i="2" s="1"/>
  <c r="U105" i="2" s="1"/>
  <c r="R97" i="2"/>
  <c r="S97" i="2" s="1"/>
  <c r="T97" i="2" s="1"/>
  <c r="U97" i="2" s="1"/>
  <c r="R89" i="2"/>
  <c r="S89" i="2" s="1"/>
  <c r="T89" i="2" s="1"/>
  <c r="U89" i="2" s="1"/>
  <c r="R81" i="2"/>
  <c r="S81" i="2" s="1"/>
  <c r="T81" i="2" s="1"/>
  <c r="U81" i="2" s="1"/>
  <c r="R68" i="2"/>
  <c r="S68" i="2" s="1"/>
  <c r="T68" i="2" s="1"/>
  <c r="U68" i="2" s="1"/>
  <c r="R60" i="2"/>
  <c r="S60" i="2" s="1"/>
  <c r="T60" i="2" s="1"/>
  <c r="U60" i="2" s="1"/>
  <c r="R52" i="2"/>
  <c r="S52" i="2" s="1"/>
  <c r="T52" i="2" s="1"/>
  <c r="U52" i="2" s="1"/>
  <c r="R44" i="2"/>
  <c r="S44" i="2" s="1"/>
  <c r="T44" i="2" s="1"/>
  <c r="U44" i="2" s="1"/>
  <c r="R36" i="2"/>
  <c r="S36" i="2" s="1"/>
  <c r="T36" i="2" s="1"/>
  <c r="U36" i="2" s="1"/>
  <c r="R28" i="2"/>
  <c r="S28" i="2" s="1"/>
  <c r="T28" i="2" s="1"/>
  <c r="U28" i="2" s="1"/>
  <c r="R20" i="2"/>
  <c r="S20" i="2" s="1"/>
  <c r="T20" i="2" s="1"/>
  <c r="U20" i="2" s="1"/>
  <c r="R12" i="2"/>
  <c r="S12" i="2" s="1"/>
  <c r="T12" i="2" s="1"/>
  <c r="U12" i="2" s="1"/>
  <c r="R4" i="2"/>
  <c r="S4" i="2" s="1"/>
  <c r="T4" i="2" s="1"/>
  <c r="U4" i="2" s="1"/>
  <c r="P91" i="1"/>
  <c r="Q91" i="1"/>
  <c r="P92" i="1"/>
  <c r="Q92" i="1"/>
  <c r="P93" i="1"/>
  <c r="Q93" i="1"/>
  <c r="P94" i="1"/>
  <c r="Q94" i="1"/>
  <c r="P95" i="1"/>
  <c r="Q95" i="1"/>
  <c r="P96" i="1"/>
  <c r="Q96" i="1"/>
  <c r="Q90" i="1"/>
  <c r="P90" i="1"/>
  <c r="Q89" i="1"/>
  <c r="P89" i="1"/>
  <c r="Q88" i="1"/>
  <c r="P88" i="1"/>
  <c r="Q87" i="1"/>
  <c r="P87" i="1"/>
  <c r="Q86" i="1"/>
  <c r="P86" i="1"/>
  <c r="Q85" i="1"/>
  <c r="P85" i="1"/>
  <c r="P72" i="1"/>
  <c r="Q72" i="1"/>
  <c r="P73" i="1"/>
  <c r="Q73" i="1"/>
  <c r="V48" i="2" l="1"/>
  <c r="X48" i="2" s="1"/>
  <c r="W48" i="2"/>
  <c r="V46" i="2"/>
  <c r="X46" i="2" s="1"/>
  <c r="W46" i="2"/>
  <c r="V31" i="2"/>
  <c r="X31" i="2" s="1"/>
  <c r="W31" i="2"/>
  <c r="V84" i="2"/>
  <c r="X84" i="2"/>
  <c r="W84" i="2"/>
  <c r="V105" i="2"/>
  <c r="W105" i="2"/>
  <c r="X105" i="2"/>
  <c r="V133" i="2"/>
  <c r="X133" i="2"/>
  <c r="W133" i="2"/>
  <c r="V135" i="2"/>
  <c r="X135" i="2"/>
  <c r="W135" i="2"/>
  <c r="V123" i="2"/>
  <c r="X123" i="2"/>
  <c r="W123" i="2"/>
  <c r="V41" i="2"/>
  <c r="X41" i="2" s="1"/>
  <c r="W41" i="2"/>
  <c r="V67" i="2"/>
  <c r="X67" i="2" s="1"/>
  <c r="W67" i="2"/>
  <c r="V136" i="2"/>
  <c r="X136" i="2"/>
  <c r="W136" i="2"/>
  <c r="V7" i="2"/>
  <c r="X7" i="2" s="1"/>
  <c r="W7" i="2"/>
  <c r="V50" i="2"/>
  <c r="X50" i="2" s="1"/>
  <c r="W50" i="2"/>
  <c r="V119" i="2"/>
  <c r="X119" i="2"/>
  <c r="W119" i="2"/>
  <c r="V66" i="2"/>
  <c r="X66" i="2" s="1"/>
  <c r="W66" i="2"/>
  <c r="V52" i="2"/>
  <c r="X52" i="2" s="1"/>
  <c r="W52" i="2"/>
  <c r="V10" i="2"/>
  <c r="X10" i="2" s="1"/>
  <c r="W10" i="2"/>
  <c r="V70" i="2"/>
  <c r="X70" i="2" s="1"/>
  <c r="W70" i="2"/>
  <c r="V139" i="2"/>
  <c r="W139" i="2"/>
  <c r="X139" i="2"/>
  <c r="V88" i="2"/>
  <c r="W88" i="2"/>
  <c r="X88" i="2"/>
  <c r="V23" i="2"/>
  <c r="X23" i="2" s="1"/>
  <c r="W23" i="2"/>
  <c r="V108" i="2"/>
  <c r="X108" i="2"/>
  <c r="W108" i="2"/>
  <c r="V117" i="2"/>
  <c r="W117" i="2"/>
  <c r="X117" i="2"/>
  <c r="V44" i="2"/>
  <c r="X44" i="2" s="1"/>
  <c r="W44" i="2"/>
  <c r="V141" i="2"/>
  <c r="X141" i="2"/>
  <c r="W141" i="2"/>
  <c r="V15" i="2"/>
  <c r="X15" i="2" s="1"/>
  <c r="W15" i="2"/>
  <c r="V16" i="2"/>
  <c r="X16" i="2" s="1"/>
  <c r="W16" i="2"/>
  <c r="V85" i="2"/>
  <c r="X85" i="2"/>
  <c r="W85" i="2"/>
  <c r="V87" i="2"/>
  <c r="X87" i="2"/>
  <c r="W87" i="2"/>
  <c r="V14" i="2"/>
  <c r="X14" i="2" s="1"/>
  <c r="W14" i="2"/>
  <c r="V83" i="2"/>
  <c r="X83" i="2"/>
  <c r="W83" i="2"/>
  <c r="V27" i="2"/>
  <c r="X27" i="2" s="1"/>
  <c r="W27" i="2"/>
  <c r="V116" i="2"/>
  <c r="W116" i="2"/>
  <c r="X116" i="2"/>
  <c r="V28" i="2"/>
  <c r="X28" i="2" s="1"/>
  <c r="W28" i="2"/>
  <c r="V115" i="2"/>
  <c r="X115" i="2"/>
  <c r="W115" i="2"/>
  <c r="V64" i="2"/>
  <c r="X64" i="2" s="1"/>
  <c r="W64" i="2"/>
  <c r="V144" i="2"/>
  <c r="X144" i="2"/>
  <c r="W144" i="2"/>
  <c r="V68" i="2"/>
  <c r="X68" i="2" s="1"/>
  <c r="W68" i="2"/>
  <c r="V24" i="2"/>
  <c r="X24" i="2" s="1"/>
  <c r="W24" i="2"/>
  <c r="V26" i="2"/>
  <c r="X26" i="2" s="1"/>
  <c r="W26" i="2"/>
  <c r="V104" i="2"/>
  <c r="W104" i="2"/>
  <c r="X104" i="2"/>
  <c r="V11" i="2"/>
  <c r="X11" i="2" s="1"/>
  <c r="W11" i="2"/>
  <c r="V47" i="2"/>
  <c r="X47" i="2" s="1"/>
  <c r="W47" i="2"/>
  <c r="V124" i="2"/>
  <c r="W124" i="2"/>
  <c r="X124" i="2"/>
  <c r="V59" i="2"/>
  <c r="X59" i="2" s="1"/>
  <c r="W59" i="2"/>
  <c r="V62" i="2"/>
  <c r="X62" i="2" s="1"/>
  <c r="W62" i="2"/>
  <c r="V121" i="2"/>
  <c r="X121" i="2"/>
  <c r="W121" i="2"/>
  <c r="V60" i="2"/>
  <c r="X60" i="2" s="1"/>
  <c r="W60" i="2"/>
  <c r="V81" i="2"/>
  <c r="W81" i="2"/>
  <c r="X81" i="2"/>
  <c r="V32" i="2"/>
  <c r="X32" i="2" s="1"/>
  <c r="W32" i="2"/>
  <c r="V101" i="2"/>
  <c r="X101" i="2"/>
  <c r="W101" i="2"/>
  <c r="V34" i="2"/>
  <c r="X34" i="2" s="1"/>
  <c r="W34" i="2"/>
  <c r="V103" i="2"/>
  <c r="W103" i="2"/>
  <c r="X103" i="2"/>
  <c r="V30" i="2"/>
  <c r="X30" i="2" s="1"/>
  <c r="W30" i="2"/>
  <c r="V99" i="2"/>
  <c r="X99" i="2"/>
  <c r="W99" i="2"/>
  <c r="V43" i="2"/>
  <c r="X43" i="2" s="1"/>
  <c r="W43" i="2"/>
  <c r="V137" i="2"/>
  <c r="X137" i="2"/>
  <c r="W137" i="2"/>
  <c r="V97" i="2"/>
  <c r="X97" i="2"/>
  <c r="W97" i="2"/>
  <c r="V143" i="2"/>
  <c r="X143" i="2"/>
  <c r="W143" i="2"/>
  <c r="V125" i="2"/>
  <c r="W125" i="2"/>
  <c r="X125" i="2"/>
  <c r="V100" i="2"/>
  <c r="X100" i="2"/>
  <c r="W100" i="2"/>
  <c r="V8" i="2"/>
  <c r="X8" i="2" s="1"/>
  <c r="W8" i="2"/>
  <c r="V12" i="2"/>
  <c r="X12" i="2" s="1"/>
  <c r="W12" i="2"/>
  <c r="V89" i="2"/>
  <c r="W89" i="2"/>
  <c r="X89" i="2"/>
  <c r="V42" i="2"/>
  <c r="X42" i="2" s="1"/>
  <c r="W42" i="2"/>
  <c r="V107" i="2"/>
  <c r="X107" i="2"/>
  <c r="W107" i="2"/>
  <c r="V51" i="2"/>
  <c r="X51" i="2" s="1"/>
  <c r="W51" i="2"/>
  <c r="V120" i="2"/>
  <c r="X120" i="2"/>
  <c r="W120" i="2"/>
  <c r="V63" i="2"/>
  <c r="X63" i="2" s="1"/>
  <c r="W63" i="2"/>
  <c r="V140" i="2"/>
  <c r="W140" i="2"/>
  <c r="X140" i="2"/>
  <c r="R96" i="1"/>
  <c r="S96" i="1" s="1"/>
  <c r="T96" i="1" s="1"/>
  <c r="U96" i="1" s="1"/>
  <c r="R92" i="1"/>
  <c r="S92" i="1" s="1"/>
  <c r="T92" i="1" s="1"/>
  <c r="U92" i="1" s="1"/>
  <c r="W78" i="2"/>
  <c r="W80" i="2"/>
  <c r="W128" i="2"/>
  <c r="W35" i="2"/>
  <c r="W96" i="2"/>
  <c r="W112" i="2"/>
  <c r="W19" i="2"/>
  <c r="W6" i="2"/>
  <c r="V127" i="2"/>
  <c r="W127" i="2"/>
  <c r="V56" i="2"/>
  <c r="W56" i="2"/>
  <c r="V36" i="2"/>
  <c r="W36" i="2"/>
  <c r="V40" i="2"/>
  <c r="W40" i="2"/>
  <c r="V109" i="2"/>
  <c r="W109" i="2"/>
  <c r="V111" i="2"/>
  <c r="W111" i="2"/>
  <c r="V54" i="2"/>
  <c r="W54" i="2"/>
  <c r="V58" i="2"/>
  <c r="W58" i="2"/>
  <c r="V129" i="2"/>
  <c r="W129" i="2"/>
  <c r="V77" i="2"/>
  <c r="W77" i="2"/>
  <c r="V79" i="2"/>
  <c r="W79" i="2"/>
  <c r="V22" i="2"/>
  <c r="W22" i="2"/>
  <c r="V91" i="2"/>
  <c r="W91" i="2"/>
  <c r="V18" i="2"/>
  <c r="W18" i="2"/>
  <c r="V113" i="2"/>
  <c r="W113" i="2"/>
  <c r="V131" i="2"/>
  <c r="W131" i="2"/>
  <c r="V20" i="2"/>
  <c r="W20" i="2"/>
  <c r="V93" i="2"/>
  <c r="W93" i="2"/>
  <c r="V95" i="2"/>
  <c r="W95" i="2"/>
  <c r="V38" i="2"/>
  <c r="W38" i="2"/>
  <c r="W4" i="2"/>
  <c r="V4" i="2"/>
  <c r="R94" i="1"/>
  <c r="S94" i="1" s="1"/>
  <c r="T94" i="1" s="1"/>
  <c r="U94" i="1" s="1"/>
  <c r="R91" i="1"/>
  <c r="S91" i="1" s="1"/>
  <c r="T91" i="1" s="1"/>
  <c r="U91" i="1" s="1"/>
  <c r="R93" i="1"/>
  <c r="S93" i="1" s="1"/>
  <c r="T93" i="1" s="1"/>
  <c r="U93" i="1" s="1"/>
  <c r="R95" i="1"/>
  <c r="S95" i="1" s="1"/>
  <c r="T95" i="1" s="1"/>
  <c r="U95" i="1" s="1"/>
  <c r="R86" i="1"/>
  <c r="S86" i="1" s="1"/>
  <c r="T86" i="1" s="1"/>
  <c r="U86" i="1" s="1"/>
  <c r="R90" i="1"/>
  <c r="S90" i="1" s="1"/>
  <c r="T90" i="1" s="1"/>
  <c r="U90" i="1" s="1"/>
  <c r="R73" i="1"/>
  <c r="S73" i="1" s="1"/>
  <c r="T73" i="1" s="1"/>
  <c r="U73" i="1" s="1"/>
  <c r="R72" i="1"/>
  <c r="S72" i="1" s="1"/>
  <c r="T72" i="1" s="1"/>
  <c r="U72" i="1" s="1"/>
  <c r="Y72" i="1" s="1"/>
  <c r="R85" i="1"/>
  <c r="S85" i="1" s="1"/>
  <c r="T85" i="1" s="1"/>
  <c r="U85" i="1" s="1"/>
  <c r="R89" i="1"/>
  <c r="S89" i="1" s="1"/>
  <c r="T89" i="1" s="1"/>
  <c r="U89" i="1" s="1"/>
  <c r="R87" i="1"/>
  <c r="S87" i="1" s="1"/>
  <c r="T87" i="1" s="1"/>
  <c r="U87" i="1" s="1"/>
  <c r="R88" i="1"/>
  <c r="S88" i="1" s="1"/>
  <c r="T88" i="1" s="1"/>
  <c r="U88" i="1" s="1"/>
  <c r="Y88" i="1" s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39" i="1"/>
  <c r="Q39" i="1"/>
  <c r="P40" i="1"/>
  <c r="Q40" i="1"/>
  <c r="P41" i="1"/>
  <c r="Q41" i="1"/>
  <c r="P42" i="1"/>
  <c r="Q42" i="1"/>
  <c r="P43" i="1"/>
  <c r="Q43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W95" i="1" l="1"/>
  <c r="Y95" i="1"/>
  <c r="W89" i="1"/>
  <c r="Y89" i="1"/>
  <c r="W94" i="1"/>
  <c r="Y94" i="1"/>
  <c r="W87" i="1"/>
  <c r="Y87" i="1"/>
  <c r="W91" i="1"/>
  <c r="Y91" i="1"/>
  <c r="W85" i="1"/>
  <c r="Y85" i="1"/>
  <c r="W73" i="1"/>
  <c r="Y73" i="1"/>
  <c r="W93" i="1"/>
  <c r="Y93" i="1"/>
  <c r="W90" i="1"/>
  <c r="Y90" i="1"/>
  <c r="W92" i="1"/>
  <c r="Y92" i="1"/>
  <c r="W86" i="1"/>
  <c r="Y86" i="1"/>
  <c r="W96" i="1"/>
  <c r="Y96" i="1"/>
  <c r="V92" i="1"/>
  <c r="V96" i="1"/>
  <c r="R65" i="1"/>
  <c r="S65" i="1" s="1"/>
  <c r="T65" i="1" s="1"/>
  <c r="U65" i="1" s="1"/>
  <c r="V91" i="1"/>
  <c r="V95" i="1"/>
  <c r="R43" i="1"/>
  <c r="S43" i="1" s="1"/>
  <c r="T43" i="1" s="1"/>
  <c r="U43" i="1" s="1"/>
  <c r="W43" i="1" s="1"/>
  <c r="Y43" i="1" s="1"/>
  <c r="R37" i="1"/>
  <c r="S37" i="1" s="1"/>
  <c r="T37" i="1" s="1"/>
  <c r="U37" i="1" s="1"/>
  <c r="W37" i="1" s="1"/>
  <c r="Y37" i="1" s="1"/>
  <c r="R24" i="1"/>
  <c r="S24" i="1" s="1"/>
  <c r="T24" i="1" s="1"/>
  <c r="U24" i="1" s="1"/>
  <c r="W24" i="1" s="1"/>
  <c r="Y24" i="1" s="1"/>
  <c r="V87" i="1"/>
  <c r="V94" i="1"/>
  <c r="R33" i="1"/>
  <c r="S33" i="1" s="1"/>
  <c r="T33" i="1" s="1"/>
  <c r="U33" i="1" s="1"/>
  <c r="W33" i="1" s="1"/>
  <c r="Y33" i="1" s="1"/>
  <c r="R25" i="1"/>
  <c r="S25" i="1" s="1"/>
  <c r="T25" i="1" s="1"/>
  <c r="U25" i="1" s="1"/>
  <c r="W25" i="1" s="1"/>
  <c r="Y25" i="1" s="1"/>
  <c r="R21" i="1"/>
  <c r="S21" i="1" s="1"/>
  <c r="T21" i="1" s="1"/>
  <c r="U21" i="1" s="1"/>
  <c r="W21" i="1" s="1"/>
  <c r="Y21" i="1" s="1"/>
  <c r="V93" i="1"/>
  <c r="R71" i="1"/>
  <c r="S71" i="1" s="1"/>
  <c r="T71" i="1" s="1"/>
  <c r="U71" i="1" s="1"/>
  <c r="R70" i="1"/>
  <c r="S70" i="1" s="1"/>
  <c r="T70" i="1" s="1"/>
  <c r="U70" i="1" s="1"/>
  <c r="V86" i="1"/>
  <c r="R35" i="1"/>
  <c r="S35" i="1" s="1"/>
  <c r="T35" i="1" s="1"/>
  <c r="U35" i="1" s="1"/>
  <c r="W35" i="1" s="1"/>
  <c r="Y35" i="1" s="1"/>
  <c r="R23" i="1"/>
  <c r="S23" i="1" s="1"/>
  <c r="T23" i="1" s="1"/>
  <c r="U23" i="1" s="1"/>
  <c r="W23" i="1" s="1"/>
  <c r="Y23" i="1" s="1"/>
  <c r="R68" i="1"/>
  <c r="S68" i="1" s="1"/>
  <c r="T68" i="1" s="1"/>
  <c r="U68" i="1" s="1"/>
  <c r="R31" i="1"/>
  <c r="S31" i="1" s="1"/>
  <c r="T31" i="1" s="1"/>
  <c r="U31" i="1" s="1"/>
  <c r="W31" i="1" s="1"/>
  <c r="Y31" i="1" s="1"/>
  <c r="R40" i="1"/>
  <c r="S40" i="1" s="1"/>
  <c r="T40" i="1" s="1"/>
  <c r="U40" i="1" s="1"/>
  <c r="W40" i="1" s="1"/>
  <c r="Y40" i="1" s="1"/>
  <c r="R66" i="1"/>
  <c r="S66" i="1" s="1"/>
  <c r="T66" i="1" s="1"/>
  <c r="U66" i="1" s="1"/>
  <c r="R27" i="1"/>
  <c r="S27" i="1" s="1"/>
  <c r="T27" i="1" s="1"/>
  <c r="U27" i="1" s="1"/>
  <c r="W27" i="1" s="1"/>
  <c r="Y27" i="1" s="1"/>
  <c r="R62" i="1"/>
  <c r="S62" i="1" s="1"/>
  <c r="T62" i="1" s="1"/>
  <c r="U62" i="1" s="1"/>
  <c r="R69" i="1"/>
  <c r="S69" i="1" s="1"/>
  <c r="T69" i="1" s="1"/>
  <c r="U69" i="1" s="1"/>
  <c r="R42" i="1"/>
  <c r="S42" i="1" s="1"/>
  <c r="T42" i="1" s="1"/>
  <c r="U42" i="1" s="1"/>
  <c r="W42" i="1" s="1"/>
  <c r="Y42" i="1" s="1"/>
  <c r="R39" i="1"/>
  <c r="S39" i="1" s="1"/>
  <c r="T39" i="1" s="1"/>
  <c r="U39" i="1" s="1"/>
  <c r="W39" i="1" s="1"/>
  <c r="Y39" i="1" s="1"/>
  <c r="R61" i="1"/>
  <c r="S61" i="1" s="1"/>
  <c r="T61" i="1" s="1"/>
  <c r="U61" i="1" s="1"/>
  <c r="V89" i="1"/>
  <c r="R36" i="1"/>
  <c r="S36" i="1" s="1"/>
  <c r="T36" i="1" s="1"/>
  <c r="U36" i="1" s="1"/>
  <c r="W36" i="1" s="1"/>
  <c r="Y36" i="1" s="1"/>
  <c r="V90" i="1"/>
  <c r="V85" i="1"/>
  <c r="R38" i="1"/>
  <c r="S38" i="1" s="1"/>
  <c r="T38" i="1" s="1"/>
  <c r="U38" i="1" s="1"/>
  <c r="W38" i="1" s="1"/>
  <c r="Y38" i="1" s="1"/>
  <c r="R29" i="1"/>
  <c r="S29" i="1" s="1"/>
  <c r="T29" i="1" s="1"/>
  <c r="U29" i="1" s="1"/>
  <c r="W29" i="1" s="1"/>
  <c r="Y29" i="1" s="1"/>
  <c r="R41" i="1"/>
  <c r="S41" i="1" s="1"/>
  <c r="T41" i="1" s="1"/>
  <c r="U41" i="1" s="1"/>
  <c r="W41" i="1" s="1"/>
  <c r="Y41" i="1" s="1"/>
  <c r="R63" i="1"/>
  <c r="S63" i="1" s="1"/>
  <c r="T63" i="1" s="1"/>
  <c r="U63" i="1" s="1"/>
  <c r="R60" i="1"/>
  <c r="S60" i="1" s="1"/>
  <c r="T60" i="1" s="1"/>
  <c r="U60" i="1" s="1"/>
  <c r="V73" i="1"/>
  <c r="R32" i="1"/>
  <c r="S32" i="1" s="1"/>
  <c r="T32" i="1" s="1"/>
  <c r="U32" i="1" s="1"/>
  <c r="W32" i="1" s="1"/>
  <c r="Y32" i="1" s="1"/>
  <c r="V88" i="1"/>
  <c r="W88" i="1"/>
  <c r="R67" i="1"/>
  <c r="S67" i="1" s="1"/>
  <c r="T67" i="1" s="1"/>
  <c r="U67" i="1" s="1"/>
  <c r="R28" i="1"/>
  <c r="S28" i="1" s="1"/>
  <c r="T28" i="1" s="1"/>
  <c r="U28" i="1" s="1"/>
  <c r="W28" i="1" s="1"/>
  <c r="Y28" i="1" s="1"/>
  <c r="R34" i="1"/>
  <c r="S34" i="1" s="1"/>
  <c r="T34" i="1" s="1"/>
  <c r="U34" i="1" s="1"/>
  <c r="W34" i="1" s="1"/>
  <c r="Y34" i="1" s="1"/>
  <c r="R22" i="1"/>
  <c r="S22" i="1" s="1"/>
  <c r="T22" i="1" s="1"/>
  <c r="U22" i="1" s="1"/>
  <c r="W22" i="1" s="1"/>
  <c r="Y22" i="1" s="1"/>
  <c r="R26" i="1"/>
  <c r="S26" i="1" s="1"/>
  <c r="T26" i="1" s="1"/>
  <c r="U26" i="1" s="1"/>
  <c r="W26" i="1" s="1"/>
  <c r="Y26" i="1" s="1"/>
  <c r="R20" i="1"/>
  <c r="S20" i="1" s="1"/>
  <c r="T20" i="1" s="1"/>
  <c r="U20" i="1" s="1"/>
  <c r="W20" i="1" s="1"/>
  <c r="Y20" i="1" s="1"/>
  <c r="R64" i="1"/>
  <c r="S64" i="1" s="1"/>
  <c r="T64" i="1" s="1"/>
  <c r="U64" i="1" s="1"/>
  <c r="R59" i="1"/>
  <c r="S59" i="1" s="1"/>
  <c r="T59" i="1" s="1"/>
  <c r="U59" i="1" s="1"/>
  <c r="V72" i="1"/>
  <c r="W72" i="1"/>
  <c r="R30" i="1"/>
  <c r="S30" i="1" s="1"/>
  <c r="T30" i="1" s="1"/>
  <c r="U30" i="1" s="1"/>
  <c r="W30" i="1" s="1"/>
  <c r="Y30" i="1" s="1"/>
  <c r="Q78" i="1"/>
  <c r="P78" i="1"/>
  <c r="Q77" i="1"/>
  <c r="P77" i="1"/>
  <c r="Q76" i="1"/>
  <c r="P76" i="1"/>
  <c r="Q75" i="1"/>
  <c r="P75" i="1"/>
  <c r="Q74" i="1"/>
  <c r="P74" i="1"/>
  <c r="Q54" i="1"/>
  <c r="W63" i="1" l="1"/>
  <c r="Y63" i="1"/>
  <c r="W61" i="1"/>
  <c r="Y61" i="1"/>
  <c r="W66" i="1"/>
  <c r="Y66" i="1"/>
  <c r="W68" i="1"/>
  <c r="Y68" i="1"/>
  <c r="W71" i="1"/>
  <c r="Y71" i="1"/>
  <c r="W65" i="1"/>
  <c r="Y65" i="1"/>
  <c r="W60" i="1"/>
  <c r="Y60" i="1"/>
  <c r="W59" i="1"/>
  <c r="Y59" i="1"/>
  <c r="W69" i="1"/>
  <c r="Y69" i="1"/>
  <c r="V70" i="1"/>
  <c r="Y70" i="1"/>
  <c r="W67" i="1"/>
  <c r="Y67" i="1"/>
  <c r="W64" i="1"/>
  <c r="Y64" i="1"/>
  <c r="V62" i="1"/>
  <c r="Y62" i="1"/>
  <c r="W70" i="1"/>
  <c r="V65" i="1"/>
  <c r="V37" i="1"/>
  <c r="R75" i="1"/>
  <c r="S75" i="1" s="1"/>
  <c r="T75" i="1" s="1"/>
  <c r="U75" i="1" s="1"/>
  <c r="V43" i="1"/>
  <c r="V24" i="1"/>
  <c r="V25" i="1"/>
  <c r="V23" i="1"/>
  <c r="V33" i="1"/>
  <c r="V29" i="1"/>
  <c r="V22" i="1"/>
  <c r="V71" i="1"/>
  <c r="V38" i="1"/>
  <c r="V69" i="1"/>
  <c r="V21" i="1"/>
  <c r="V32" i="1"/>
  <c r="V35" i="1"/>
  <c r="V68" i="1"/>
  <c r="V39" i="1"/>
  <c r="V61" i="1"/>
  <c r="R77" i="1"/>
  <c r="S77" i="1" s="1"/>
  <c r="T77" i="1" s="1"/>
  <c r="U77" i="1" s="1"/>
  <c r="V31" i="1"/>
  <c r="V42" i="1"/>
  <c r="V40" i="1"/>
  <c r="V66" i="1"/>
  <c r="V67" i="1"/>
  <c r="V34" i="1"/>
  <c r="V27" i="1"/>
  <c r="V64" i="1"/>
  <c r="V41" i="1"/>
  <c r="V20" i="1"/>
  <c r="W62" i="1"/>
  <c r="R74" i="1"/>
  <c r="S74" i="1" s="1"/>
  <c r="T74" i="1" s="1"/>
  <c r="U74" i="1" s="1"/>
  <c r="R78" i="1"/>
  <c r="S78" i="1" s="1"/>
  <c r="T78" i="1" s="1"/>
  <c r="U78" i="1" s="1"/>
  <c r="V26" i="1"/>
  <c r="V36" i="1"/>
  <c r="V28" i="1"/>
  <c r="V63" i="1"/>
  <c r="R76" i="1"/>
  <c r="S76" i="1" s="1"/>
  <c r="T76" i="1" s="1"/>
  <c r="U76" i="1" s="1"/>
  <c r="V60" i="1"/>
  <c r="V30" i="1"/>
  <c r="V59" i="1"/>
  <c r="Q84" i="1"/>
  <c r="P84" i="1"/>
  <c r="Q83" i="1"/>
  <c r="P83" i="1"/>
  <c r="Q82" i="1"/>
  <c r="P82" i="1"/>
  <c r="Q81" i="1"/>
  <c r="P81" i="1"/>
  <c r="Q80" i="1"/>
  <c r="P80" i="1"/>
  <c r="Q79" i="1"/>
  <c r="P79" i="1"/>
  <c r="P17" i="1"/>
  <c r="Q17" i="1"/>
  <c r="P18" i="1"/>
  <c r="Q18" i="1"/>
  <c r="P19" i="1"/>
  <c r="Q19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  <c r="W77" i="1" l="1"/>
  <c r="Y77" i="1"/>
  <c r="W78" i="1"/>
  <c r="Y78" i="1"/>
  <c r="W75" i="1"/>
  <c r="Y75" i="1"/>
  <c r="W74" i="1"/>
  <c r="Y74" i="1"/>
  <c r="W76" i="1"/>
  <c r="Y76" i="1"/>
  <c r="V75" i="1"/>
  <c r="R84" i="1"/>
  <c r="S84" i="1" s="1"/>
  <c r="T84" i="1" s="1"/>
  <c r="U84" i="1" s="1"/>
  <c r="V84" i="1" s="1"/>
  <c r="V77" i="1"/>
  <c r="R9" i="1"/>
  <c r="S9" i="1" s="1"/>
  <c r="T9" i="1" s="1"/>
  <c r="U9" i="1" s="1"/>
  <c r="V9" i="1" s="1"/>
  <c r="R13" i="1"/>
  <c r="S13" i="1" s="1"/>
  <c r="T13" i="1" s="1"/>
  <c r="U13" i="1" s="1"/>
  <c r="V13" i="1" s="1"/>
  <c r="R80" i="1"/>
  <c r="S80" i="1" s="1"/>
  <c r="T80" i="1" s="1"/>
  <c r="U80" i="1" s="1"/>
  <c r="W80" i="1" s="1"/>
  <c r="R8" i="1"/>
  <c r="S8" i="1" s="1"/>
  <c r="T8" i="1" s="1"/>
  <c r="U8" i="1" s="1"/>
  <c r="V8" i="1" s="1"/>
  <c r="R79" i="1"/>
  <c r="S79" i="1" s="1"/>
  <c r="T79" i="1" s="1"/>
  <c r="U79" i="1" s="1"/>
  <c r="V79" i="1" s="1"/>
  <c r="V74" i="1"/>
  <c r="V78" i="1"/>
  <c r="V76" i="1"/>
  <c r="R2" i="1"/>
  <c r="S2" i="1" s="1"/>
  <c r="T2" i="1" s="1"/>
  <c r="U2" i="1" s="1"/>
  <c r="V2" i="1" s="1"/>
  <c r="R10" i="1"/>
  <c r="S10" i="1" s="1"/>
  <c r="T10" i="1" s="1"/>
  <c r="U10" i="1" s="1"/>
  <c r="V10" i="1" s="1"/>
  <c r="R14" i="1"/>
  <c r="S14" i="1" s="1"/>
  <c r="T14" i="1" s="1"/>
  <c r="U14" i="1" s="1"/>
  <c r="V14" i="1" s="1"/>
  <c r="R81" i="1"/>
  <c r="S81" i="1" s="1"/>
  <c r="T81" i="1" s="1"/>
  <c r="U81" i="1" s="1"/>
  <c r="W81" i="1" s="1"/>
  <c r="R11" i="1"/>
  <c r="S11" i="1" s="1"/>
  <c r="T11" i="1" s="1"/>
  <c r="U11" i="1" s="1"/>
  <c r="V11" i="1" s="1"/>
  <c r="R17" i="1"/>
  <c r="S17" i="1" s="1"/>
  <c r="T17" i="1" s="1"/>
  <c r="U17" i="1" s="1"/>
  <c r="V17" i="1" s="1"/>
  <c r="R83" i="1"/>
  <c r="S83" i="1" s="1"/>
  <c r="T83" i="1" s="1"/>
  <c r="U83" i="1" s="1"/>
  <c r="W83" i="1" s="1"/>
  <c r="R82" i="1"/>
  <c r="S82" i="1" s="1"/>
  <c r="T82" i="1" s="1"/>
  <c r="U82" i="1" s="1"/>
  <c r="W82" i="1" s="1"/>
  <c r="R3" i="1"/>
  <c r="S3" i="1" s="1"/>
  <c r="T3" i="1" s="1"/>
  <c r="U3" i="1" s="1"/>
  <c r="V3" i="1" s="1"/>
  <c r="R7" i="1"/>
  <c r="S7" i="1" s="1"/>
  <c r="T7" i="1" s="1"/>
  <c r="U7" i="1" s="1"/>
  <c r="V7" i="1" s="1"/>
  <c r="R15" i="1"/>
  <c r="S15" i="1" s="1"/>
  <c r="T15" i="1" s="1"/>
  <c r="U15" i="1" s="1"/>
  <c r="R12" i="1"/>
  <c r="S12" i="1" s="1"/>
  <c r="T12" i="1" s="1"/>
  <c r="U12" i="1" s="1"/>
  <c r="R16" i="1"/>
  <c r="S16" i="1" s="1"/>
  <c r="T16" i="1" s="1"/>
  <c r="U16" i="1" s="1"/>
  <c r="R19" i="1"/>
  <c r="S19" i="1" s="1"/>
  <c r="T19" i="1" s="1"/>
  <c r="U19" i="1" s="1"/>
  <c r="R6" i="1"/>
  <c r="S6" i="1" s="1"/>
  <c r="T6" i="1" s="1"/>
  <c r="U6" i="1" s="1"/>
  <c r="R18" i="1"/>
  <c r="S18" i="1" s="1"/>
  <c r="T18" i="1" s="1"/>
  <c r="U18" i="1" s="1"/>
  <c r="R4" i="1"/>
  <c r="S4" i="1" s="1"/>
  <c r="T4" i="1" s="1"/>
  <c r="U4" i="1" s="1"/>
  <c r="R5" i="1"/>
  <c r="S5" i="1" s="1"/>
  <c r="T5" i="1" s="1"/>
  <c r="U5" i="1" s="1"/>
  <c r="W84" i="1" l="1"/>
  <c r="V80" i="1"/>
  <c r="W13" i="1"/>
  <c r="W9" i="1"/>
  <c r="W8" i="1"/>
  <c r="W79" i="1"/>
  <c r="W14" i="1"/>
  <c r="V81" i="1"/>
  <c r="W11" i="1"/>
  <c r="W2" i="1"/>
  <c r="W10" i="1"/>
  <c r="W17" i="1"/>
  <c r="V83" i="1"/>
  <c r="W7" i="1"/>
  <c r="V82" i="1"/>
  <c r="W3" i="1"/>
  <c r="V18" i="1"/>
  <c r="W18" i="1"/>
  <c r="V5" i="1"/>
  <c r="W5" i="1"/>
  <c r="V4" i="1"/>
  <c r="W4" i="1"/>
  <c r="V15" i="1"/>
  <c r="W15" i="1"/>
  <c r="V16" i="1"/>
  <c r="W16" i="1"/>
  <c r="V19" i="1"/>
  <c r="W19" i="1"/>
  <c r="V12" i="1"/>
  <c r="W12" i="1"/>
  <c r="V6" i="1"/>
  <c r="W6" i="1"/>
  <c r="P53" i="1" l="1"/>
  <c r="P44" i="1" l="1"/>
  <c r="Q44" i="1"/>
  <c r="P45" i="1"/>
  <c r="Q45" i="1"/>
  <c r="P46" i="1"/>
  <c r="Q46" i="1"/>
  <c r="P47" i="1"/>
  <c r="Q47" i="1"/>
  <c r="P48" i="1"/>
  <c r="Q48" i="1"/>
  <c r="P49" i="1"/>
  <c r="Q49" i="1"/>
  <c r="Q50" i="1"/>
  <c r="P51" i="1"/>
  <c r="Q51" i="1"/>
  <c r="P52" i="1"/>
  <c r="Q52" i="1"/>
  <c r="Q53" i="1"/>
  <c r="R53" i="1" s="1"/>
  <c r="P54" i="1"/>
  <c r="P55" i="1"/>
  <c r="Q55" i="1"/>
  <c r="P56" i="1"/>
  <c r="Q56" i="1"/>
  <c r="P57" i="1"/>
  <c r="Q57" i="1"/>
  <c r="P58" i="1"/>
  <c r="Q58" i="1"/>
  <c r="R49" i="1" l="1"/>
  <c r="S49" i="1" s="1"/>
  <c r="T49" i="1" s="1"/>
  <c r="U49" i="1" s="1"/>
  <c r="R52" i="1"/>
  <c r="S52" i="1" s="1"/>
  <c r="T52" i="1" s="1"/>
  <c r="U52" i="1" s="1"/>
  <c r="R48" i="1"/>
  <c r="S48" i="1" s="1"/>
  <c r="T48" i="1" s="1"/>
  <c r="U48" i="1" s="1"/>
  <c r="R47" i="1"/>
  <c r="S47" i="1" s="1"/>
  <c r="T47" i="1" s="1"/>
  <c r="U47" i="1" s="1"/>
  <c r="R51" i="1"/>
  <c r="S51" i="1" s="1"/>
  <c r="T51" i="1" s="1"/>
  <c r="U51" i="1" s="1"/>
  <c r="R56" i="1"/>
  <c r="S56" i="1" s="1"/>
  <c r="T56" i="1" s="1"/>
  <c r="U56" i="1" s="1"/>
  <c r="R55" i="1"/>
  <c r="S55" i="1" s="1"/>
  <c r="T55" i="1" s="1"/>
  <c r="U55" i="1" s="1"/>
  <c r="R50" i="1"/>
  <c r="S50" i="1" s="1"/>
  <c r="T50" i="1" s="1"/>
  <c r="U50" i="1" s="1"/>
  <c r="R46" i="1"/>
  <c r="S46" i="1" s="1"/>
  <c r="T46" i="1" s="1"/>
  <c r="U46" i="1" s="1"/>
  <c r="W46" i="1" s="1"/>
  <c r="R58" i="1"/>
  <c r="S58" i="1" s="1"/>
  <c r="T58" i="1" s="1"/>
  <c r="U58" i="1" s="1"/>
  <c r="R54" i="1"/>
  <c r="S54" i="1" s="1"/>
  <c r="T54" i="1" s="1"/>
  <c r="U54" i="1" s="1"/>
  <c r="R45" i="1"/>
  <c r="S45" i="1" s="1"/>
  <c r="T45" i="1" s="1"/>
  <c r="U45" i="1" s="1"/>
  <c r="R57" i="1"/>
  <c r="S57" i="1" s="1"/>
  <c r="T57" i="1" s="1"/>
  <c r="U57" i="1" s="1"/>
  <c r="R44" i="1"/>
  <c r="S44" i="1" s="1"/>
  <c r="T44" i="1" s="1"/>
  <c r="U44" i="1" s="1"/>
  <c r="S53" i="1"/>
  <c r="T53" i="1" s="1"/>
  <c r="U53" i="1" s="1"/>
  <c r="V44" i="1" l="1"/>
  <c r="W44" i="1"/>
  <c r="V56" i="1"/>
  <c r="W56" i="1"/>
  <c r="V55" i="1"/>
  <c r="W55" i="1"/>
  <c r="V51" i="1"/>
  <c r="W51" i="1"/>
  <c r="V45" i="1"/>
  <c r="W45" i="1"/>
  <c r="V48" i="1"/>
  <c r="W48" i="1"/>
  <c r="V52" i="1"/>
  <c r="W52" i="1"/>
  <c r="V57" i="1"/>
  <c r="W57" i="1"/>
  <c r="V53" i="1"/>
  <c r="W53" i="1"/>
  <c r="V54" i="1"/>
  <c r="W54" i="1"/>
  <c r="V58" i="1"/>
  <c r="W58" i="1"/>
  <c r="V50" i="1"/>
  <c r="W50" i="1"/>
  <c r="V47" i="1"/>
  <c r="W47" i="1"/>
  <c r="V49" i="1"/>
  <c r="W49" i="1"/>
  <c r="V46" i="1"/>
</calcChain>
</file>

<file path=xl/comments1.xml><?xml version="1.0" encoding="utf-8"?>
<comments xmlns="http://schemas.openxmlformats.org/spreadsheetml/2006/main">
  <authors>
    <author>GUILLERMO DE JESUS LOPEZ CASTRO</author>
  </authors>
  <commentList>
    <comment ref="C79" authorId="0" shapeId="0">
      <text>
        <r>
          <rPr>
            <b/>
            <sz val="9"/>
            <color indexed="81"/>
            <rFont val="Tahoma"/>
            <family val="2"/>
          </rPr>
          <t>GUILLERMO DE JESUS LOPEZ CASTRO:</t>
        </r>
        <r>
          <rPr>
            <sz val="9"/>
            <color indexed="81"/>
            <rFont val="Tahoma"/>
            <family val="2"/>
          </rPr>
          <t xml:space="preserve">
Este individuo 6, reemplaza al individuo 5 de primavera, ya que no lo encontramos de nuevo (durante la camapaña lo llamamos 3* ya que estaba a un lado del individuo 3</t>
        </r>
      </text>
    </comment>
  </commentList>
</comments>
</file>

<file path=xl/sharedStrings.xml><?xml version="1.0" encoding="utf-8"?>
<sst xmlns="http://schemas.openxmlformats.org/spreadsheetml/2006/main" count="1151" uniqueCount="76">
  <si>
    <t>id_plant</t>
  </si>
  <si>
    <t>Vol extraccion sac (ml)</t>
  </si>
  <si>
    <t># de hojas</t>
  </si>
  <si>
    <t>Vol_resusp (ml)</t>
  </si>
  <si>
    <t>Vol_final_pocillo_sac_(ml)</t>
  </si>
  <si>
    <t>Vol sacarosa (ml)</t>
  </si>
  <si>
    <t>Sacarosa 01</t>
  </si>
  <si>
    <t>rep_S01</t>
  </si>
  <si>
    <t>Sacarosa 02</t>
  </si>
  <si>
    <t>rep_S02</t>
  </si>
  <si>
    <t>Sac 02-01</t>
  </si>
  <si>
    <t>Sac_rep_02-01</t>
  </si>
  <si>
    <t>Promedio sacarosa</t>
  </si>
  <si>
    <t>Aplicando la recta sacarosa_um_ml</t>
  </si>
  <si>
    <t>date</t>
  </si>
  <si>
    <t>season</t>
  </si>
  <si>
    <t>light_exposure</t>
  </si>
  <si>
    <t>spring</t>
  </si>
  <si>
    <t>sun</t>
  </si>
  <si>
    <t>shade</t>
  </si>
  <si>
    <t>site</t>
  </si>
  <si>
    <t>orduña</t>
  </si>
  <si>
    <t>artikutza</t>
  </si>
  <si>
    <t>bertiz</t>
  </si>
  <si>
    <t>diustes</t>
  </si>
  <si>
    <t>iturrieta</t>
  </si>
  <si>
    <t>summer</t>
  </si>
  <si>
    <t>shade_low</t>
  </si>
  <si>
    <t>sample_type</t>
  </si>
  <si>
    <t>LPH</t>
  </si>
  <si>
    <t>SPH</t>
  </si>
  <si>
    <t>BPH</t>
  </si>
  <si>
    <t>late_summer</t>
  </si>
  <si>
    <t>ug_C_MUESTRA (sin descontar lo usado para medir)</t>
  </si>
  <si>
    <t>ug_C_MUESTRA (descontando lo usado para medir)</t>
  </si>
  <si>
    <t>ug_sac_ml</t>
  </si>
  <si>
    <t>ug_C_ml</t>
  </si>
  <si>
    <t>orientation</t>
  </si>
  <si>
    <t>norte</t>
  </si>
  <si>
    <t>este</t>
  </si>
  <si>
    <t>oeste</t>
  </si>
  <si>
    <t xml:space="preserve">shade_low </t>
  </si>
  <si>
    <t>sur</t>
  </si>
  <si>
    <t>montejo_sierra</t>
  </si>
  <si>
    <t>mg C capsulitas analisis isotopos</t>
  </si>
  <si>
    <t>code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</si>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</sst>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8">
    <xf numFmtId="0" fontId="0" fillId="0" borderId="0"/>
    <xf numFmtId="0" fontId="2" fillId="0" borderId="0"/>
    <xf numFmtId="0" fontId="3" fillId="0" borderId="0" applyNumberFormat="0" applyFont="0" applyFill="0" applyBorder="0" applyAlignment="0" applyProtection="0"/>
    <xf numFmtId="0" fontId="2" fillId="2" borderId="1" applyNumberFormat="0" applyFont="0" applyAlignment="0" applyProtection="0"/>
    <xf numFmtId="0" fontId="2" fillId="2" borderId="2" applyNumberFormat="0" applyFont="0" applyAlignment="0" applyProtection="0"/>
    <xf numFmtId="0" fontId="3" fillId="0" borderId="0"/>
    <xf numFmtId="0" fontId="3" fillId="2" borderId="1" applyNumberFormat="0" applyFont="0" applyAlignment="0" applyProtection="0"/>
    <xf numFmtId="0" fontId="3" fillId="2" borderId="2" applyNumberFormat="0" applyFont="0" applyAlignment="0" applyProtection="0"/>
  </cellStyleXfs>
  <cellXfs count="29">
    <xf numFmtId="0" fontId="0" fillId="0" borderId="0" xfId="0"/>
    <xf numFmtId="0" fontId="4" fillId="0" borderId="0" xfId="0" applyFont="1" applyFill="1"/>
    <xf numFmtId="0" fontId="1" fillId="0" borderId="0" xfId="0" applyFont="1" applyFill="1"/>
    <xf numFmtId="0" fontId="0" fillId="0" borderId="0" xfId="0" applyFont="1" applyFill="1"/>
    <xf numFmtId="0" fontId="6" fillId="0" borderId="0" xfId="1" applyFont="1" applyFill="1"/>
    <xf numFmtId="0" fontId="5" fillId="0" borderId="0" xfId="1" applyFont="1" applyFill="1"/>
    <xf numFmtId="0" fontId="7" fillId="0" borderId="0" xfId="1" applyFont="1" applyFill="1"/>
    <xf numFmtId="0" fontId="8" fillId="0" borderId="0" xfId="0" applyFont="1" applyFill="1"/>
    <xf numFmtId="0" fontId="9" fillId="0" borderId="0" xfId="1" applyFont="1" applyFill="1"/>
    <xf numFmtId="2" fontId="8" fillId="0" borderId="0" xfId="0" applyNumberFormat="1" applyFont="1" applyFill="1"/>
    <xf numFmtId="0" fontId="0" fillId="0" borderId="0" xfId="0" applyFill="1"/>
    <xf numFmtId="164" fontId="8" fillId="0" borderId="0" xfId="0" applyNumberFormat="1" applyFont="1" applyFill="1"/>
    <xf numFmtId="0" fontId="2" fillId="0" borderId="0" xfId="1" applyFill="1"/>
    <xf numFmtId="164" fontId="0" fillId="0" borderId="0" xfId="0" applyNumberFormat="1" applyFill="1"/>
    <xf numFmtId="2" fontId="0" fillId="0" borderId="0" xfId="0" applyNumberFormat="1" applyFont="1" applyFill="1"/>
    <xf numFmtId="0" fontId="0" fillId="3" borderId="0" xfId="0" applyFont="1" applyFill="1"/>
    <xf numFmtId="1" fontId="8" fillId="0" borderId="0" xfId="0" applyNumberFormat="1" applyFont="1" applyFill="1"/>
    <xf numFmtId="0" fontId="8" fillId="4" borderId="0" xfId="0" applyFont="1" applyFill="1"/>
    <xf numFmtId="0" fontId="9" fillId="4" borderId="0" xfId="1" applyFont="1" applyFill="1"/>
    <xf numFmtId="2" fontId="8" fillId="4" borderId="0" xfId="0" applyNumberFormat="1" applyFont="1" applyFill="1"/>
    <xf numFmtId="164" fontId="8" fillId="4" borderId="0" xfId="0" applyNumberFormat="1" applyFont="1" applyFill="1"/>
    <xf numFmtId="164" fontId="0" fillId="0" borderId="0" xfId="0" applyNumberFormat="1" applyFont="1" applyFill="1"/>
    <xf numFmtId="0" fontId="0" fillId="4" borderId="0" xfId="0" applyFont="1" applyFill="1"/>
    <xf numFmtId="0" fontId="5" fillId="4" borderId="0" xfId="1" applyFont="1" applyFill="1"/>
    <xf numFmtId="0" fontId="2" fillId="4" borderId="0" xfId="1" applyFill="1"/>
    <xf numFmtId="2" fontId="0" fillId="4" borderId="0" xfId="0" applyNumberFormat="1" applyFont="1" applyFill="1"/>
    <xf numFmtId="164" fontId="0" fillId="4" borderId="0" xfId="0" applyNumberFormat="1" applyFont="1" applyFill="1"/>
    <xf numFmtId="0" fontId="0" fillId="4" borderId="0" xfId="0" applyFill="1"/>
    <xf numFmtId="0" fontId="1" fillId="0" borderId="0" xfId="0" applyFont="1"/>
  </cellXfs>
  <cellStyles count="8">
    <cellStyle name="None" xfId="2"/>
    <cellStyle name="Normal" xfId="0" builtinId="0"/>
    <cellStyle name="Normal 2" xfId="1"/>
    <cellStyle name="Normal 3" xfId="5"/>
    <cellStyle name="RSONoBtmBrdStyle" xfId="3"/>
    <cellStyle name="RSONoBtmBrdStyle 2" xfId="6"/>
    <cellStyle name="RSOStyle" xfId="4"/>
    <cellStyle name="RSOStyle 2" xfId="7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6"/>
  <sheetViews>
    <sheetView topLeftCell="A67" zoomScaleNormal="100" zoomScaleSheetLayoutView="100" workbookViewId="0">
      <pane xSplit="5" topLeftCell="V1" activePane="topRight" state="frozen"/>
      <selection pane="topRight" activeCell="A91" sqref="A91:XFD96"/>
    </sheetView>
  </sheetViews>
  <sheetFormatPr defaultColWidth="8.7109375" defaultRowHeight="15.75" x14ac:dyDescent="0.25"/>
  <cols>
    <col min="1" max="2" width="15.28515625" style="7" customWidth="1"/>
    <col min="3" max="3" width="15.28515625" style="7" bestFit="1" customWidth="1"/>
    <col min="4" max="5" width="15.28515625" style="7" customWidth="1"/>
    <col min="6" max="6" width="12.140625" style="7" customWidth="1"/>
    <col min="7" max="7" width="15.140625" style="7" customWidth="1"/>
    <col min="8" max="8" width="9.42578125" style="7" customWidth="1"/>
    <col min="9" max="9" width="15.5703125" style="7" customWidth="1"/>
    <col min="10" max="10" width="18.85546875" style="7" customWidth="1"/>
    <col min="11" max="11" width="8.85546875" style="7" customWidth="1"/>
    <col min="12" max="12" width="12.85546875" style="7" customWidth="1"/>
    <col min="13" max="13" width="8.7109375" style="7"/>
    <col min="14" max="14" width="11.140625" style="7" customWidth="1"/>
    <col min="15" max="15" width="8.7109375" style="7"/>
    <col min="16" max="16" width="11.42578125" style="7" customWidth="1"/>
    <col min="17" max="19" width="8.7109375" style="7"/>
    <col min="20" max="20" width="18.28515625" style="7" bestFit="1" customWidth="1"/>
    <col min="21" max="21" width="15.140625" style="7" bestFit="1" customWidth="1"/>
    <col min="22" max="22" width="21" style="7" bestFit="1" customWidth="1"/>
    <col min="23" max="16384" width="8.7109375" style="7"/>
  </cols>
  <sheetData>
    <row r="1" spans="1:25" s="1" customFormat="1" x14ac:dyDescent="0.25">
      <c r="A1" s="1" t="s">
        <v>14</v>
      </c>
      <c r="B1" s="1" t="s">
        <v>15</v>
      </c>
      <c r="C1" s="6" t="s">
        <v>0</v>
      </c>
      <c r="D1" s="6" t="s">
        <v>28</v>
      </c>
      <c r="E1" s="1" t="s">
        <v>16</v>
      </c>
      <c r="F1" s="1" t="s">
        <v>20</v>
      </c>
      <c r="G1" s="6" t="s">
        <v>1</v>
      </c>
      <c r="H1" s="6" t="s">
        <v>2</v>
      </c>
      <c r="I1" s="6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  <c r="P1" s="6" t="s">
        <v>10</v>
      </c>
      <c r="Q1" s="6" t="s">
        <v>11</v>
      </c>
      <c r="R1" s="6" t="s">
        <v>12</v>
      </c>
      <c r="S1" s="6" t="s">
        <v>13</v>
      </c>
      <c r="T1" s="6" t="s">
        <v>35</v>
      </c>
      <c r="U1" s="1" t="s">
        <v>36</v>
      </c>
      <c r="V1" s="1" t="s">
        <v>33</v>
      </c>
      <c r="W1" s="1" t="s">
        <v>34</v>
      </c>
      <c r="Y1" s="1" t="s">
        <v>44</v>
      </c>
    </row>
    <row r="2" spans="1:25" x14ac:dyDescent="0.25">
      <c r="A2" s="7">
        <v>20230531</v>
      </c>
      <c r="B2" s="7" t="s">
        <v>17</v>
      </c>
      <c r="C2" s="7">
        <v>1</v>
      </c>
      <c r="D2" s="7" t="s">
        <v>29</v>
      </c>
      <c r="E2" s="7" t="s">
        <v>18</v>
      </c>
      <c r="F2" s="7" t="s">
        <v>21</v>
      </c>
      <c r="G2" s="8">
        <v>1.8</v>
      </c>
      <c r="H2" s="8">
        <v>10</v>
      </c>
      <c r="I2" s="8">
        <v>0.5</v>
      </c>
      <c r="J2" s="8">
        <v>0.25</v>
      </c>
      <c r="K2" s="8">
        <v>1.4999999999999999E-2</v>
      </c>
      <c r="L2" s="8">
        <v>0.30499999999999999</v>
      </c>
      <c r="M2" s="8">
        <v>0.308</v>
      </c>
      <c r="N2" s="8">
        <v>0.32500000000000001</v>
      </c>
      <c r="O2" s="8">
        <v>0.32900000000000001</v>
      </c>
      <c r="P2" s="7">
        <f t="shared" ref="P2:P10" si="0">N2-L2</f>
        <v>2.0000000000000018E-2</v>
      </c>
      <c r="Q2" s="7">
        <f t="shared" ref="Q2:Q16" si="1">O2-M2</f>
        <v>2.1000000000000019E-2</v>
      </c>
      <c r="R2" s="7">
        <f t="shared" ref="R2:R16" si="2">AVERAGE(P2:Q2)</f>
        <v>2.0500000000000018E-2</v>
      </c>
      <c r="S2" s="7">
        <f t="shared" ref="S2:S16" si="3">R2/4.2427*J2/K2</f>
        <v>8.0530479804527072E-2</v>
      </c>
      <c r="T2" s="7">
        <f t="shared" ref="T2:T16" si="4">S2*342.3</f>
        <v>27.565583237089619</v>
      </c>
      <c r="U2" s="7">
        <f t="shared" ref="U2:U16" si="5">T2*0.42</f>
        <v>11.57754495957764</v>
      </c>
      <c r="V2" s="9">
        <f>U2*I2</f>
        <v>5.78877247978882</v>
      </c>
      <c r="W2" s="7">
        <f>U2*0.47</f>
        <v>5.4414461310014905</v>
      </c>
    </row>
    <row r="3" spans="1:25" x14ac:dyDescent="0.25">
      <c r="A3" s="7">
        <v>20230531</v>
      </c>
      <c r="B3" s="7" t="s">
        <v>17</v>
      </c>
      <c r="C3" s="7">
        <v>1</v>
      </c>
      <c r="D3" s="7" t="s">
        <v>29</v>
      </c>
      <c r="E3" s="7" t="s">
        <v>19</v>
      </c>
      <c r="F3" s="7" t="s">
        <v>21</v>
      </c>
      <c r="G3" s="8">
        <v>1.8</v>
      </c>
      <c r="H3" s="8">
        <v>10</v>
      </c>
      <c r="I3" s="8">
        <v>0.5</v>
      </c>
      <c r="J3" s="8">
        <v>0.25</v>
      </c>
      <c r="K3" s="8">
        <v>1.4999999999999999E-2</v>
      </c>
      <c r="L3" s="8">
        <v>0.29699999999999999</v>
      </c>
      <c r="M3" s="8">
        <v>0.29499999999999998</v>
      </c>
      <c r="N3" s="8">
        <v>0.32300000000000001</v>
      </c>
      <c r="O3" s="8">
        <v>0.32200000000000001</v>
      </c>
      <c r="P3" s="7">
        <f t="shared" si="0"/>
        <v>2.6000000000000023E-2</v>
      </c>
      <c r="Q3" s="7">
        <f t="shared" si="1"/>
        <v>2.7000000000000024E-2</v>
      </c>
      <c r="R3" s="7">
        <f t="shared" si="2"/>
        <v>2.6500000000000024E-2</v>
      </c>
      <c r="S3" s="7">
        <f t="shared" si="3"/>
        <v>0.10410037633268132</v>
      </c>
      <c r="T3" s="7">
        <f t="shared" si="4"/>
        <v>35.633558818676818</v>
      </c>
      <c r="U3" s="7">
        <f t="shared" si="5"/>
        <v>14.966094703844263</v>
      </c>
      <c r="V3" s="9">
        <f>U3*I3</f>
        <v>7.4830473519221314</v>
      </c>
      <c r="W3" s="7">
        <f t="shared" ref="W3:W58" si="6">U3*0.47</f>
        <v>7.034064510806803</v>
      </c>
    </row>
    <row r="4" spans="1:25" x14ac:dyDescent="0.25">
      <c r="A4" s="7">
        <v>20230531</v>
      </c>
      <c r="B4" s="7" t="s">
        <v>17</v>
      </c>
      <c r="C4" s="7">
        <v>1</v>
      </c>
      <c r="D4" s="7" t="s">
        <v>29</v>
      </c>
      <c r="E4" s="7" t="s">
        <v>27</v>
      </c>
      <c r="F4" s="7" t="s">
        <v>21</v>
      </c>
      <c r="G4" s="8">
        <v>1.8</v>
      </c>
      <c r="H4" s="8">
        <v>10</v>
      </c>
      <c r="I4" s="8">
        <v>0.5</v>
      </c>
      <c r="J4" s="8">
        <v>0.25</v>
      </c>
      <c r="K4" s="8">
        <v>1.4999999999999999E-2</v>
      </c>
      <c r="L4" s="8">
        <v>0.29399999999999998</v>
      </c>
      <c r="M4" s="8">
        <v>0.29199999999999998</v>
      </c>
      <c r="N4" s="8">
        <v>0.31</v>
      </c>
      <c r="O4" s="8">
        <v>0.312</v>
      </c>
      <c r="P4" s="7">
        <f t="shared" si="0"/>
        <v>1.6000000000000014E-2</v>
      </c>
      <c r="Q4" s="7">
        <f t="shared" si="1"/>
        <v>2.0000000000000018E-2</v>
      </c>
      <c r="R4" s="7">
        <f t="shared" si="2"/>
        <v>1.8000000000000016E-2</v>
      </c>
      <c r="S4" s="7">
        <f t="shared" si="3"/>
        <v>7.070968958446279E-2</v>
      </c>
      <c r="T4" s="7">
        <f t="shared" si="4"/>
        <v>24.203926744761613</v>
      </c>
      <c r="U4" s="7">
        <f t="shared" si="5"/>
        <v>10.165649232799877</v>
      </c>
      <c r="V4" s="9">
        <f t="shared" ref="V4:V16" si="7">U4*I4</f>
        <v>5.0828246163999387</v>
      </c>
      <c r="W4" s="7">
        <f t="shared" si="6"/>
        <v>4.7778551394159416</v>
      </c>
    </row>
    <row r="5" spans="1:25" x14ac:dyDescent="0.25">
      <c r="A5" s="7">
        <v>20230530</v>
      </c>
      <c r="B5" s="7" t="s">
        <v>17</v>
      </c>
      <c r="C5" s="7">
        <v>2</v>
      </c>
      <c r="D5" s="7" t="s">
        <v>29</v>
      </c>
      <c r="E5" s="7" t="s">
        <v>18</v>
      </c>
      <c r="F5" s="7" t="s">
        <v>21</v>
      </c>
      <c r="G5" s="8">
        <v>1.8</v>
      </c>
      <c r="H5" s="8">
        <v>10</v>
      </c>
      <c r="I5" s="8">
        <v>0.5</v>
      </c>
      <c r="J5" s="8">
        <v>0.25</v>
      </c>
      <c r="K5" s="8">
        <v>1.4999999999999999E-2</v>
      </c>
      <c r="L5" s="8">
        <v>0.312</v>
      </c>
      <c r="M5" s="8">
        <v>0.29399999999999998</v>
      </c>
      <c r="N5" s="8">
        <v>0.34499999999999997</v>
      </c>
      <c r="O5" s="8">
        <v>0.31900000000000001</v>
      </c>
      <c r="P5" s="7">
        <f t="shared" si="0"/>
        <v>3.2999999999999974E-2</v>
      </c>
      <c r="Q5" s="7">
        <f t="shared" si="1"/>
        <v>2.5000000000000022E-2</v>
      </c>
      <c r="R5" s="7">
        <f t="shared" si="2"/>
        <v>2.8999999999999998E-2</v>
      </c>
      <c r="S5" s="7">
        <f t="shared" si="3"/>
        <v>0.11392116655274549</v>
      </c>
      <c r="T5" s="7">
        <f t="shared" si="4"/>
        <v>38.995215311004785</v>
      </c>
      <c r="U5" s="7">
        <f t="shared" si="5"/>
        <v>16.37799043062201</v>
      </c>
      <c r="V5" s="9">
        <f t="shared" si="7"/>
        <v>8.1889952153110048</v>
      </c>
      <c r="W5" s="7">
        <f t="shared" si="6"/>
        <v>7.6976555023923439</v>
      </c>
    </row>
    <row r="6" spans="1:25" x14ac:dyDescent="0.25">
      <c r="A6" s="7">
        <v>20230530</v>
      </c>
      <c r="B6" s="7" t="s">
        <v>17</v>
      </c>
      <c r="C6" s="7">
        <v>2</v>
      </c>
      <c r="D6" s="7" t="s">
        <v>29</v>
      </c>
      <c r="E6" s="7" t="s">
        <v>19</v>
      </c>
      <c r="F6" s="7" t="s">
        <v>21</v>
      </c>
      <c r="G6" s="8">
        <v>1.8</v>
      </c>
      <c r="H6" s="8">
        <v>10</v>
      </c>
      <c r="I6" s="8">
        <v>0.5</v>
      </c>
      <c r="J6" s="8">
        <v>0.25</v>
      </c>
      <c r="K6" s="8">
        <v>1.4999999999999999E-2</v>
      </c>
      <c r="L6" s="8">
        <v>0.29299999999999998</v>
      </c>
      <c r="M6" s="8">
        <v>0.28699999999999998</v>
      </c>
      <c r="N6" s="8">
        <v>0.309</v>
      </c>
      <c r="O6" s="8">
        <v>0.308</v>
      </c>
      <c r="P6" s="7">
        <f t="shared" si="0"/>
        <v>1.6000000000000014E-2</v>
      </c>
      <c r="Q6" s="7">
        <f t="shared" si="1"/>
        <v>2.1000000000000019E-2</v>
      </c>
      <c r="R6" s="7">
        <f t="shared" si="2"/>
        <v>1.8500000000000016E-2</v>
      </c>
      <c r="S6" s="7">
        <f t="shared" si="3"/>
        <v>7.2673847628475632E-2</v>
      </c>
      <c r="T6" s="7">
        <f t="shared" si="4"/>
        <v>24.87625804322721</v>
      </c>
      <c r="U6" s="7">
        <f t="shared" si="5"/>
        <v>10.448028378155428</v>
      </c>
      <c r="V6" s="9">
        <f t="shared" si="7"/>
        <v>5.2240141890777139</v>
      </c>
      <c r="W6" s="7">
        <f t="shared" si="6"/>
        <v>4.9105733377330507</v>
      </c>
    </row>
    <row r="7" spans="1:25" x14ac:dyDescent="0.25">
      <c r="A7" s="7">
        <v>20230531</v>
      </c>
      <c r="B7" s="7" t="s">
        <v>17</v>
      </c>
      <c r="C7" s="7">
        <v>2</v>
      </c>
      <c r="D7" s="7" t="s">
        <v>29</v>
      </c>
      <c r="E7" s="7" t="s">
        <v>27</v>
      </c>
      <c r="F7" s="7" t="s">
        <v>21</v>
      </c>
      <c r="G7" s="8">
        <v>1.8</v>
      </c>
      <c r="H7" s="8">
        <v>10</v>
      </c>
      <c r="I7" s="8">
        <v>0.5</v>
      </c>
      <c r="J7" s="8">
        <v>0.25</v>
      </c>
      <c r="K7" s="8">
        <v>1.4999999999999999E-2</v>
      </c>
      <c r="L7" s="8">
        <v>0.30199999999999999</v>
      </c>
      <c r="M7" s="8">
        <v>0.30099999999999999</v>
      </c>
      <c r="N7" s="8">
        <v>0.33500000000000002</v>
      </c>
      <c r="O7" s="8">
        <v>0.34100000000000003</v>
      </c>
      <c r="P7" s="7">
        <f t="shared" si="0"/>
        <v>3.3000000000000029E-2</v>
      </c>
      <c r="Q7" s="7">
        <f t="shared" si="1"/>
        <v>4.0000000000000036E-2</v>
      </c>
      <c r="R7" s="7">
        <f t="shared" si="2"/>
        <v>3.6500000000000032E-2</v>
      </c>
      <c r="S7" s="7">
        <f t="shared" si="3"/>
        <v>0.14338353721293842</v>
      </c>
      <c r="T7" s="7">
        <f t="shared" si="4"/>
        <v>49.080184787988827</v>
      </c>
      <c r="U7" s="7">
        <f t="shared" si="5"/>
        <v>20.613677610955307</v>
      </c>
      <c r="V7" s="9">
        <f t="shared" si="7"/>
        <v>10.306838805477653</v>
      </c>
      <c r="W7" s="7">
        <f t="shared" si="6"/>
        <v>9.6884284771489941</v>
      </c>
    </row>
    <row r="8" spans="1:25" x14ac:dyDescent="0.25">
      <c r="A8" s="7">
        <v>20230530</v>
      </c>
      <c r="B8" s="7" t="s">
        <v>17</v>
      </c>
      <c r="C8" s="7">
        <v>3</v>
      </c>
      <c r="D8" s="7" t="s">
        <v>29</v>
      </c>
      <c r="E8" s="7" t="s">
        <v>18</v>
      </c>
      <c r="F8" s="7" t="s">
        <v>21</v>
      </c>
      <c r="G8" s="8">
        <v>1.8</v>
      </c>
      <c r="H8" s="8">
        <v>10</v>
      </c>
      <c r="I8" s="8">
        <v>0.5</v>
      </c>
      <c r="J8" s="8">
        <v>0.25</v>
      </c>
      <c r="K8" s="8">
        <v>1.4999999999999999E-2</v>
      </c>
      <c r="L8" s="8">
        <v>0.46</v>
      </c>
      <c r="M8" s="8">
        <v>0.46800000000000003</v>
      </c>
      <c r="N8" s="8">
        <v>0.54300000000000004</v>
      </c>
      <c r="O8" s="8">
        <v>0.55400000000000005</v>
      </c>
      <c r="P8" s="7">
        <f t="shared" si="0"/>
        <v>8.3000000000000018E-2</v>
      </c>
      <c r="Q8" s="7">
        <f t="shared" si="1"/>
        <v>8.6000000000000021E-2</v>
      </c>
      <c r="R8" s="7">
        <f t="shared" si="2"/>
        <v>8.450000000000002E-2</v>
      </c>
      <c r="S8" s="7">
        <f t="shared" si="3"/>
        <v>0.33194270943817228</v>
      </c>
      <c r="T8" s="7">
        <f t="shared" si="4"/>
        <v>113.62398944068637</v>
      </c>
      <c r="U8" s="7">
        <f t="shared" si="5"/>
        <v>47.722075565088275</v>
      </c>
      <c r="V8" s="9">
        <f t="shared" si="7"/>
        <v>23.861037782544138</v>
      </c>
      <c r="W8" s="7">
        <f t="shared" si="6"/>
        <v>22.429375515591488</v>
      </c>
    </row>
    <row r="9" spans="1:25" x14ac:dyDescent="0.25">
      <c r="A9" s="7">
        <v>20230531</v>
      </c>
      <c r="B9" s="7" t="s">
        <v>17</v>
      </c>
      <c r="C9" s="7">
        <v>3</v>
      </c>
      <c r="D9" s="7" t="s">
        <v>29</v>
      </c>
      <c r="E9" s="7" t="s">
        <v>19</v>
      </c>
      <c r="F9" s="7" t="s">
        <v>21</v>
      </c>
      <c r="G9" s="8">
        <v>1.8</v>
      </c>
      <c r="H9" s="8">
        <v>10</v>
      </c>
      <c r="I9" s="8">
        <v>0.5</v>
      </c>
      <c r="J9" s="8">
        <v>0.25</v>
      </c>
      <c r="K9" s="8">
        <v>1.4999999999999999E-2</v>
      </c>
      <c r="L9" s="8">
        <v>0.40899999999999997</v>
      </c>
      <c r="M9" s="8">
        <v>0.42199999999999999</v>
      </c>
      <c r="N9" s="8">
        <v>0.46800000000000003</v>
      </c>
      <c r="O9" s="8">
        <v>0.47799999999999998</v>
      </c>
      <c r="P9" s="7">
        <f t="shared" si="0"/>
        <v>5.9000000000000052E-2</v>
      </c>
      <c r="Q9" s="7">
        <f t="shared" si="1"/>
        <v>5.5999999999999994E-2</v>
      </c>
      <c r="R9" s="7">
        <f t="shared" si="2"/>
        <v>5.7500000000000023E-2</v>
      </c>
      <c r="S9" s="7">
        <f t="shared" si="3"/>
        <v>0.22587817506147825</v>
      </c>
      <c r="T9" s="7">
        <f t="shared" si="4"/>
        <v>77.318099323544004</v>
      </c>
      <c r="U9" s="7">
        <f t="shared" si="5"/>
        <v>32.473601715888478</v>
      </c>
      <c r="V9" s="9">
        <f t="shared" si="7"/>
        <v>16.236800857944239</v>
      </c>
      <c r="W9" s="7">
        <f t="shared" si="6"/>
        <v>15.262592806467584</v>
      </c>
    </row>
    <row r="10" spans="1:25" x14ac:dyDescent="0.25">
      <c r="A10" s="7">
        <v>20230531</v>
      </c>
      <c r="B10" s="7" t="s">
        <v>17</v>
      </c>
      <c r="C10" s="7">
        <v>3</v>
      </c>
      <c r="D10" s="7" t="s">
        <v>29</v>
      </c>
      <c r="E10" s="7" t="s">
        <v>27</v>
      </c>
      <c r="F10" s="7" t="s">
        <v>21</v>
      </c>
      <c r="G10" s="8">
        <v>1.8</v>
      </c>
      <c r="H10" s="8">
        <v>10</v>
      </c>
      <c r="I10" s="8">
        <v>0.5</v>
      </c>
      <c r="J10" s="8">
        <v>0.25</v>
      </c>
      <c r="K10" s="8">
        <v>1.4999999999999999E-2</v>
      </c>
      <c r="L10" s="8">
        <v>0.36899999999999999</v>
      </c>
      <c r="M10" s="8">
        <v>0.372</v>
      </c>
      <c r="N10" s="8">
        <v>0.41899999999999998</v>
      </c>
      <c r="O10" s="8">
        <v>0.42</v>
      </c>
      <c r="P10" s="7">
        <f t="shared" si="0"/>
        <v>4.9999999999999989E-2</v>
      </c>
      <c r="Q10" s="7">
        <f t="shared" si="1"/>
        <v>4.7999999999999987E-2</v>
      </c>
      <c r="R10" s="7">
        <f t="shared" si="2"/>
        <v>4.8999999999999988E-2</v>
      </c>
      <c r="S10" s="7">
        <f t="shared" si="3"/>
        <v>0.19248748831325957</v>
      </c>
      <c r="T10" s="7">
        <f t="shared" si="4"/>
        <v>65.888467249628746</v>
      </c>
      <c r="U10" s="7">
        <f t="shared" si="5"/>
        <v>27.673156244844073</v>
      </c>
      <c r="V10" s="9">
        <f t="shared" si="7"/>
        <v>13.836578122422036</v>
      </c>
      <c r="W10" s="7">
        <f t="shared" si="6"/>
        <v>13.006383435076714</v>
      </c>
    </row>
    <row r="11" spans="1:25" x14ac:dyDescent="0.25">
      <c r="A11" s="7">
        <v>20230601</v>
      </c>
      <c r="B11" s="7" t="s">
        <v>17</v>
      </c>
      <c r="C11" s="7">
        <v>4</v>
      </c>
      <c r="D11" s="7" t="s">
        <v>29</v>
      </c>
      <c r="E11" s="7" t="s">
        <v>18</v>
      </c>
      <c r="F11" s="7" t="s">
        <v>21</v>
      </c>
      <c r="G11" s="8">
        <v>1.8</v>
      </c>
      <c r="H11" s="8">
        <v>10</v>
      </c>
      <c r="I11" s="8">
        <v>0.5</v>
      </c>
      <c r="J11" s="8">
        <v>0.25</v>
      </c>
      <c r="K11" s="8">
        <v>1.4999999999999999E-2</v>
      </c>
      <c r="L11" s="8">
        <v>0.30599999999999999</v>
      </c>
      <c r="M11" s="8">
        <v>0.307</v>
      </c>
      <c r="N11" s="8">
        <v>0.35299999999999998</v>
      </c>
      <c r="O11" s="8">
        <v>0.36</v>
      </c>
      <c r="P11" s="7">
        <f>N11-L11</f>
        <v>4.6999999999999986E-2</v>
      </c>
      <c r="Q11" s="7">
        <f t="shared" si="1"/>
        <v>5.2999999999999992E-2</v>
      </c>
      <c r="R11" s="7">
        <f t="shared" si="2"/>
        <v>4.9999999999999989E-2</v>
      </c>
      <c r="S11" s="7">
        <f t="shared" si="3"/>
        <v>0.19641580440128531</v>
      </c>
      <c r="T11" s="7">
        <f t="shared" si="4"/>
        <v>67.233129846559962</v>
      </c>
      <c r="U11" s="7">
        <f t="shared" si="5"/>
        <v>28.237914535555184</v>
      </c>
      <c r="V11" s="9">
        <f t="shared" si="7"/>
        <v>14.118957267777592</v>
      </c>
      <c r="W11" s="7">
        <f t="shared" si="6"/>
        <v>13.271819831710935</v>
      </c>
    </row>
    <row r="12" spans="1:25" x14ac:dyDescent="0.25">
      <c r="A12" s="7">
        <v>20230601</v>
      </c>
      <c r="B12" s="7" t="s">
        <v>17</v>
      </c>
      <c r="C12" s="7">
        <v>4</v>
      </c>
      <c r="D12" s="7" t="s">
        <v>29</v>
      </c>
      <c r="E12" s="7" t="s">
        <v>19</v>
      </c>
      <c r="F12" s="7" t="s">
        <v>21</v>
      </c>
      <c r="G12" s="8">
        <v>1.8</v>
      </c>
      <c r="H12" s="8">
        <v>10</v>
      </c>
      <c r="I12" s="8">
        <v>0.5</v>
      </c>
      <c r="J12" s="8">
        <v>0.25</v>
      </c>
      <c r="K12" s="8">
        <v>1.4999999999999999E-2</v>
      </c>
      <c r="L12" s="8">
        <v>0.30299999999999999</v>
      </c>
      <c r="M12" s="8">
        <v>0.29399999999999998</v>
      </c>
      <c r="N12" s="8">
        <v>0.48299999999999998</v>
      </c>
      <c r="O12" s="8">
        <v>0.48799999999999999</v>
      </c>
      <c r="P12" s="7">
        <f t="shared" ref="P12:P17" si="8">N12-L12</f>
        <v>0.18</v>
      </c>
      <c r="Q12" s="7">
        <f t="shared" si="1"/>
        <v>0.19400000000000001</v>
      </c>
      <c r="R12" s="7">
        <f t="shared" si="2"/>
        <v>0.187</v>
      </c>
      <c r="S12" s="7">
        <f t="shared" si="3"/>
        <v>0.73459510846080722</v>
      </c>
      <c r="T12" s="7">
        <f t="shared" si="4"/>
        <v>251.45190562613433</v>
      </c>
      <c r="U12" s="7">
        <f t="shared" si="5"/>
        <v>105.60980036297642</v>
      </c>
      <c r="V12" s="9">
        <f t="shared" si="7"/>
        <v>52.804900181488208</v>
      </c>
      <c r="W12" s="7">
        <f t="shared" si="6"/>
        <v>49.63660617059891</v>
      </c>
    </row>
    <row r="13" spans="1:25" x14ac:dyDescent="0.25">
      <c r="A13" s="7">
        <v>20230601</v>
      </c>
      <c r="B13" s="7" t="s">
        <v>17</v>
      </c>
      <c r="C13" s="7">
        <v>4</v>
      </c>
      <c r="D13" s="7" t="s">
        <v>29</v>
      </c>
      <c r="E13" s="7" t="s">
        <v>27</v>
      </c>
      <c r="F13" s="7" t="s">
        <v>21</v>
      </c>
      <c r="G13" s="8">
        <v>1.8</v>
      </c>
      <c r="H13" s="8">
        <v>10</v>
      </c>
      <c r="I13" s="8">
        <v>0.5</v>
      </c>
      <c r="J13" s="8">
        <v>0.25</v>
      </c>
      <c r="K13" s="8">
        <v>1.4999999999999999E-2</v>
      </c>
      <c r="L13" s="8">
        <v>0.29199999999999998</v>
      </c>
      <c r="M13" s="8">
        <v>0.29499999999999998</v>
      </c>
      <c r="N13" s="8">
        <v>0.30499999999999999</v>
      </c>
      <c r="O13" s="8">
        <v>0.30399999999999999</v>
      </c>
      <c r="P13" s="7">
        <f t="shared" si="8"/>
        <v>1.3000000000000012E-2</v>
      </c>
      <c r="Q13" s="7">
        <f t="shared" si="1"/>
        <v>9.000000000000008E-3</v>
      </c>
      <c r="R13" s="7">
        <f t="shared" si="2"/>
        <v>1.100000000000001E-2</v>
      </c>
      <c r="S13" s="7">
        <f t="shared" si="3"/>
        <v>4.3211476968282814E-2</v>
      </c>
      <c r="T13" s="7">
        <f t="shared" si="4"/>
        <v>14.791288566243207</v>
      </c>
      <c r="U13" s="7">
        <f t="shared" si="5"/>
        <v>6.2123411978221466</v>
      </c>
      <c r="V13" s="9">
        <f t="shared" si="7"/>
        <v>3.1061705989110733</v>
      </c>
      <c r="W13" s="7">
        <f t="shared" si="6"/>
        <v>2.9198003629764089</v>
      </c>
    </row>
    <row r="14" spans="1:25" x14ac:dyDescent="0.25">
      <c r="A14" s="7">
        <v>20230531</v>
      </c>
      <c r="B14" s="7" t="s">
        <v>17</v>
      </c>
      <c r="C14" s="7">
        <v>5</v>
      </c>
      <c r="D14" s="7" t="s">
        <v>29</v>
      </c>
      <c r="E14" s="7" t="s">
        <v>18</v>
      </c>
      <c r="F14" s="7" t="s">
        <v>21</v>
      </c>
      <c r="G14" s="8">
        <v>1.8</v>
      </c>
      <c r="H14" s="8">
        <v>10</v>
      </c>
      <c r="I14" s="8">
        <v>0.5</v>
      </c>
      <c r="J14" s="8">
        <v>0.25</v>
      </c>
      <c r="K14" s="8">
        <v>1.4999999999999999E-2</v>
      </c>
      <c r="L14" s="8">
        <v>0.29699999999999999</v>
      </c>
      <c r="M14" s="8">
        <v>0.29499999999999998</v>
      </c>
      <c r="N14" s="8">
        <v>0.30599999999999999</v>
      </c>
      <c r="O14" s="8">
        <v>0.311</v>
      </c>
      <c r="P14" s="7">
        <f t="shared" si="8"/>
        <v>9.000000000000008E-3</v>
      </c>
      <c r="Q14" s="7">
        <f t="shared" si="1"/>
        <v>1.6000000000000014E-2</v>
      </c>
      <c r="R14" s="7">
        <f t="shared" si="2"/>
        <v>1.2500000000000011E-2</v>
      </c>
      <c r="S14" s="7">
        <f t="shared" si="3"/>
        <v>4.9103951100321383E-2</v>
      </c>
      <c r="T14" s="7">
        <f t="shared" si="4"/>
        <v>16.808282461640012</v>
      </c>
      <c r="U14" s="7">
        <f t="shared" si="5"/>
        <v>7.0594786338888049</v>
      </c>
      <c r="V14" s="9">
        <f t="shared" si="7"/>
        <v>3.5297393169444025</v>
      </c>
      <c r="W14" s="7">
        <f t="shared" si="6"/>
        <v>3.3179549579277383</v>
      </c>
    </row>
    <row r="15" spans="1:25" x14ac:dyDescent="0.25">
      <c r="A15" s="7">
        <v>20230531</v>
      </c>
      <c r="B15" s="7" t="s">
        <v>17</v>
      </c>
      <c r="C15" s="7">
        <v>5</v>
      </c>
      <c r="D15" s="7" t="s">
        <v>29</v>
      </c>
      <c r="E15" s="7" t="s">
        <v>19</v>
      </c>
      <c r="F15" s="7" t="s">
        <v>21</v>
      </c>
      <c r="G15" s="8">
        <v>1.8</v>
      </c>
      <c r="H15" s="8">
        <v>10</v>
      </c>
      <c r="I15" s="8">
        <v>0.5</v>
      </c>
      <c r="J15" s="8">
        <v>0.25</v>
      </c>
      <c r="K15" s="8">
        <v>1.4999999999999999E-2</v>
      </c>
      <c r="L15" s="8">
        <v>0.29299999999999998</v>
      </c>
      <c r="M15" s="8">
        <v>0.30099999999999999</v>
      </c>
      <c r="N15" s="8">
        <v>0.316</v>
      </c>
      <c r="O15" s="8">
        <v>0.32</v>
      </c>
      <c r="P15" s="7">
        <f t="shared" si="8"/>
        <v>2.300000000000002E-2</v>
      </c>
      <c r="Q15" s="7">
        <f t="shared" si="1"/>
        <v>1.9000000000000017E-2</v>
      </c>
      <c r="R15" s="7">
        <f t="shared" si="2"/>
        <v>2.1000000000000019E-2</v>
      </c>
      <c r="S15" s="7">
        <f t="shared" si="3"/>
        <v>8.2494637848539915E-2</v>
      </c>
      <c r="T15" s="7">
        <f t="shared" si="4"/>
        <v>28.237914535555213</v>
      </c>
      <c r="U15" s="7">
        <f t="shared" si="5"/>
        <v>11.859924104933189</v>
      </c>
      <c r="V15" s="9">
        <f t="shared" si="7"/>
        <v>5.9299620524665944</v>
      </c>
      <c r="W15" s="7">
        <f t="shared" si="6"/>
        <v>5.5741643293185987</v>
      </c>
    </row>
    <row r="16" spans="1:25" x14ac:dyDescent="0.25">
      <c r="A16" s="7">
        <v>20230531</v>
      </c>
      <c r="B16" s="7" t="s">
        <v>17</v>
      </c>
      <c r="C16" s="7">
        <v>5</v>
      </c>
      <c r="D16" s="7" t="s">
        <v>29</v>
      </c>
      <c r="E16" s="7" t="s">
        <v>27</v>
      </c>
      <c r="F16" s="7" t="s">
        <v>21</v>
      </c>
      <c r="G16" s="8">
        <v>1.8</v>
      </c>
      <c r="H16" s="8">
        <v>10</v>
      </c>
      <c r="I16" s="8">
        <v>0.5</v>
      </c>
      <c r="J16" s="8">
        <v>0.25</v>
      </c>
      <c r="K16" s="8">
        <v>1.4999999999999999E-2</v>
      </c>
      <c r="L16" s="8">
        <v>0.316</v>
      </c>
      <c r="M16" s="8">
        <v>0.29599999999999999</v>
      </c>
      <c r="N16" s="8">
        <v>0.33900000000000002</v>
      </c>
      <c r="O16" s="8">
        <v>0.32100000000000001</v>
      </c>
      <c r="P16" s="7">
        <f t="shared" si="8"/>
        <v>2.300000000000002E-2</v>
      </c>
      <c r="Q16" s="7">
        <f t="shared" si="1"/>
        <v>2.5000000000000022E-2</v>
      </c>
      <c r="R16" s="7">
        <f t="shared" si="2"/>
        <v>2.4000000000000021E-2</v>
      </c>
      <c r="S16" s="7">
        <f t="shared" si="3"/>
        <v>9.4279586112617039E-2</v>
      </c>
      <c r="T16" s="7">
        <f t="shared" si="4"/>
        <v>32.271902326348815</v>
      </c>
      <c r="U16" s="7">
        <f t="shared" si="5"/>
        <v>13.554198977066502</v>
      </c>
      <c r="V16" s="9">
        <f t="shared" si="7"/>
        <v>6.7770994885332509</v>
      </c>
      <c r="W16" s="7">
        <f t="shared" si="6"/>
        <v>6.3704735192212558</v>
      </c>
    </row>
    <row r="17" spans="1:25" x14ac:dyDescent="0.25">
      <c r="A17" s="7">
        <v>20230601</v>
      </c>
      <c r="B17" s="7" t="s">
        <v>17</v>
      </c>
      <c r="C17" s="7">
        <v>6</v>
      </c>
      <c r="D17" s="7" t="s">
        <v>29</v>
      </c>
      <c r="E17" s="7" t="s">
        <v>18</v>
      </c>
      <c r="F17" s="7" t="s">
        <v>21</v>
      </c>
      <c r="G17" s="8">
        <v>1.8</v>
      </c>
      <c r="H17" s="8">
        <v>10</v>
      </c>
      <c r="I17" s="8">
        <v>0.5</v>
      </c>
      <c r="J17" s="8">
        <v>0.25</v>
      </c>
      <c r="K17" s="8">
        <v>1.4999999999999999E-2</v>
      </c>
      <c r="L17" s="8">
        <v>0.29299999999999998</v>
      </c>
      <c r="M17" s="8">
        <v>0.28699999999999998</v>
      </c>
      <c r="N17" s="8">
        <v>0.316</v>
      </c>
      <c r="O17" s="8">
        <v>0.309</v>
      </c>
      <c r="P17" s="7">
        <f t="shared" si="8"/>
        <v>2.300000000000002E-2</v>
      </c>
      <c r="Q17" s="7">
        <f t="shared" ref="Q17:Q21" si="9">O17-M17</f>
        <v>2.200000000000002E-2</v>
      </c>
      <c r="R17" s="7">
        <f t="shared" ref="R17:R21" si="10">AVERAGE(P17:Q17)</f>
        <v>2.250000000000002E-2</v>
      </c>
      <c r="S17" s="7">
        <f t="shared" ref="S17:S21" si="11">R17/4.2427*J17/K17</f>
        <v>8.8387111980578484E-2</v>
      </c>
      <c r="T17" s="7">
        <f t="shared" ref="T17:T21" si="12">S17*342.3</f>
        <v>30.254908430952018</v>
      </c>
      <c r="U17" s="7">
        <f t="shared" ref="U17:U21" si="13">T17*0.42</f>
        <v>12.707061540999847</v>
      </c>
      <c r="V17" s="9">
        <f t="shared" ref="V17:V19" si="14">U17*I17</f>
        <v>6.3535307704999235</v>
      </c>
      <c r="W17" s="7">
        <f t="shared" si="6"/>
        <v>5.9723189242699277</v>
      </c>
    </row>
    <row r="18" spans="1:25" x14ac:dyDescent="0.25">
      <c r="A18" s="7">
        <v>20230601</v>
      </c>
      <c r="B18" s="7" t="s">
        <v>17</v>
      </c>
      <c r="C18" s="7">
        <v>6</v>
      </c>
      <c r="D18" s="7" t="s">
        <v>29</v>
      </c>
      <c r="E18" s="7" t="s">
        <v>19</v>
      </c>
      <c r="F18" s="7" t="s">
        <v>21</v>
      </c>
      <c r="G18" s="8">
        <v>1.8</v>
      </c>
      <c r="H18" s="8">
        <v>10</v>
      </c>
      <c r="I18" s="8">
        <v>0.5</v>
      </c>
      <c r="J18" s="8">
        <v>0.25</v>
      </c>
      <c r="K18" s="8">
        <v>1.4999999999999999E-2</v>
      </c>
      <c r="L18" s="8">
        <v>0.30099999999999999</v>
      </c>
      <c r="M18" s="8">
        <v>0.30199999999999999</v>
      </c>
      <c r="N18" s="8">
        <v>0.32400000000000001</v>
      </c>
      <c r="O18" s="8">
        <v>0.33100000000000002</v>
      </c>
      <c r="P18" s="7">
        <f>N18-L18</f>
        <v>2.300000000000002E-2</v>
      </c>
      <c r="Q18" s="7">
        <f t="shared" si="9"/>
        <v>2.9000000000000026E-2</v>
      </c>
      <c r="R18" s="7">
        <f t="shared" si="10"/>
        <v>2.6000000000000023E-2</v>
      </c>
      <c r="S18" s="7">
        <f t="shared" si="11"/>
        <v>0.10213621828866848</v>
      </c>
      <c r="T18" s="7">
        <f t="shared" si="12"/>
        <v>34.961227520211224</v>
      </c>
      <c r="U18" s="7">
        <f t="shared" si="13"/>
        <v>14.683715558488714</v>
      </c>
      <c r="V18" s="9">
        <f t="shared" si="14"/>
        <v>7.3418577792443571</v>
      </c>
      <c r="W18" s="7">
        <f t="shared" si="6"/>
        <v>6.9013463124896957</v>
      </c>
    </row>
    <row r="19" spans="1:25" x14ac:dyDescent="0.25">
      <c r="A19" s="7">
        <v>20230601</v>
      </c>
      <c r="B19" s="7" t="s">
        <v>17</v>
      </c>
      <c r="C19" s="7">
        <v>6</v>
      </c>
      <c r="D19" s="7" t="s">
        <v>29</v>
      </c>
      <c r="E19" s="7" t="s">
        <v>27</v>
      </c>
      <c r="F19" s="7" t="s">
        <v>21</v>
      </c>
      <c r="G19" s="8">
        <v>1.8</v>
      </c>
      <c r="H19" s="8">
        <v>10</v>
      </c>
      <c r="I19" s="8">
        <v>0.5</v>
      </c>
      <c r="J19" s="8">
        <v>0.25</v>
      </c>
      <c r="K19" s="8">
        <v>1.4999999999999999E-2</v>
      </c>
      <c r="L19" s="8">
        <v>0.318</v>
      </c>
      <c r="M19" s="8">
        <v>0.32200000000000001</v>
      </c>
      <c r="N19" s="8">
        <v>0.318</v>
      </c>
      <c r="O19" s="8">
        <v>0.35899999999999999</v>
      </c>
      <c r="P19" s="7">
        <f t="shared" ref="P19:P23" si="15">N19-L19</f>
        <v>0</v>
      </c>
      <c r="Q19" s="7">
        <f t="shared" si="9"/>
        <v>3.6999999999999977E-2</v>
      </c>
      <c r="R19" s="7">
        <f t="shared" si="10"/>
        <v>1.8499999999999989E-2</v>
      </c>
      <c r="S19" s="7">
        <f t="shared" si="11"/>
        <v>7.2673847628475535E-2</v>
      </c>
      <c r="T19" s="7">
        <f t="shared" si="12"/>
        <v>24.876258043227178</v>
      </c>
      <c r="U19" s="7">
        <f t="shared" si="13"/>
        <v>10.448028378155415</v>
      </c>
      <c r="V19" s="9">
        <f t="shared" si="14"/>
        <v>5.2240141890777076</v>
      </c>
      <c r="W19" s="7">
        <f t="shared" si="6"/>
        <v>4.9105733377330445</v>
      </c>
    </row>
    <row r="20" spans="1:25" s="17" customFormat="1" x14ac:dyDescent="0.25">
      <c r="A20" s="17">
        <v>20230531</v>
      </c>
      <c r="B20" s="17" t="s">
        <v>17</v>
      </c>
      <c r="C20" s="17">
        <v>1</v>
      </c>
      <c r="D20" s="17" t="s">
        <v>30</v>
      </c>
      <c r="E20" s="17" t="s">
        <v>18</v>
      </c>
      <c r="F20" s="17" t="s">
        <v>21</v>
      </c>
      <c r="G20" s="18">
        <v>10</v>
      </c>
      <c r="J20" s="18">
        <v>0.25</v>
      </c>
      <c r="K20" s="18">
        <v>0.11</v>
      </c>
      <c r="L20" s="18">
        <v>0.32800000000000001</v>
      </c>
      <c r="M20" s="18">
        <v>0.32400000000000001</v>
      </c>
      <c r="N20" s="18">
        <v>0.621</v>
      </c>
      <c r="O20" s="18">
        <v>0.32100000000000001</v>
      </c>
      <c r="P20" s="17">
        <f t="shared" si="15"/>
        <v>0.29299999999999998</v>
      </c>
      <c r="Q20" s="17">
        <f t="shared" si="9"/>
        <v>-3.0000000000000027E-3</v>
      </c>
      <c r="R20" s="17">
        <f t="shared" si="10"/>
        <v>0.14499999999999999</v>
      </c>
      <c r="S20" s="17">
        <f t="shared" si="11"/>
        <v>7.7673522649599189E-2</v>
      </c>
      <c r="T20" s="17">
        <f t="shared" si="12"/>
        <v>26.587646802957803</v>
      </c>
      <c r="U20" s="17">
        <f t="shared" si="13"/>
        <v>11.166811657242278</v>
      </c>
      <c r="V20" s="19">
        <f>U20*G20</f>
        <v>111.66811657242278</v>
      </c>
      <c r="W20" s="17">
        <f>U20*9.78</f>
        <v>109.21141800782947</v>
      </c>
      <c r="Y20" s="20">
        <f>W20/1000</f>
        <v>0.10921141800782946</v>
      </c>
    </row>
    <row r="21" spans="1:25" s="17" customFormat="1" x14ac:dyDescent="0.25">
      <c r="A21" s="17">
        <v>20230531</v>
      </c>
      <c r="B21" s="17" t="s">
        <v>17</v>
      </c>
      <c r="C21" s="17">
        <v>1</v>
      </c>
      <c r="D21" s="17" t="s">
        <v>30</v>
      </c>
      <c r="E21" s="17" t="s">
        <v>19</v>
      </c>
      <c r="F21" s="17" t="s">
        <v>21</v>
      </c>
      <c r="G21" s="18">
        <v>10</v>
      </c>
      <c r="J21" s="18">
        <v>0.25</v>
      </c>
      <c r="K21" s="18">
        <v>0.11</v>
      </c>
      <c r="L21" s="18">
        <v>0.35199999999999998</v>
      </c>
      <c r="M21" s="18">
        <v>0.35099999999999998</v>
      </c>
      <c r="N21" s="18">
        <v>0.58299999999999996</v>
      </c>
      <c r="O21" s="18">
        <v>0.57199999999999995</v>
      </c>
      <c r="P21" s="17">
        <f t="shared" si="15"/>
        <v>0.23099999999999998</v>
      </c>
      <c r="Q21" s="17">
        <f t="shared" si="9"/>
        <v>0.22099999999999997</v>
      </c>
      <c r="R21" s="17">
        <f t="shared" si="10"/>
        <v>0.22599999999999998</v>
      </c>
      <c r="S21" s="17">
        <f t="shared" si="11"/>
        <v>0.12106355944006496</v>
      </c>
      <c r="T21" s="17">
        <f t="shared" si="12"/>
        <v>41.440056396334235</v>
      </c>
      <c r="U21" s="17">
        <f t="shared" si="13"/>
        <v>17.404823686460379</v>
      </c>
      <c r="V21" s="19">
        <f t="shared" ref="V21:V43" si="16">U21*G21</f>
        <v>174.04823686460378</v>
      </c>
      <c r="W21" s="17">
        <f t="shared" ref="W21:W43" si="17">U21*9.78</f>
        <v>170.21917565358248</v>
      </c>
      <c r="Y21" s="20">
        <f t="shared" ref="Y21:Y43" si="18">W21/1000</f>
        <v>0.17021917565358249</v>
      </c>
    </row>
    <row r="22" spans="1:25" s="17" customFormat="1" x14ac:dyDescent="0.25">
      <c r="A22" s="17">
        <v>20230531</v>
      </c>
      <c r="B22" s="17" t="s">
        <v>17</v>
      </c>
      <c r="C22" s="17">
        <v>1</v>
      </c>
      <c r="D22" s="17" t="s">
        <v>30</v>
      </c>
      <c r="E22" s="17" t="s">
        <v>27</v>
      </c>
      <c r="F22" s="17" t="s">
        <v>21</v>
      </c>
      <c r="G22" s="18">
        <v>10</v>
      </c>
      <c r="J22" s="18">
        <v>0.25</v>
      </c>
      <c r="K22" s="18">
        <v>0.11</v>
      </c>
      <c r="L22" s="18">
        <v>0.309</v>
      </c>
      <c r="M22" s="18">
        <v>0.31</v>
      </c>
      <c r="N22" s="18">
        <v>0.56699999999999995</v>
      </c>
      <c r="O22" s="18">
        <v>0.58199999999999996</v>
      </c>
      <c r="P22" s="17">
        <f t="shared" si="15"/>
        <v>0.25799999999999995</v>
      </c>
      <c r="Q22" s="17">
        <f t="shared" ref="Q22:Q38" si="19">O22-M22</f>
        <v>0.27199999999999996</v>
      </c>
      <c r="R22" s="17">
        <f t="shared" ref="R22:R38" si="20">AVERAGE(P22:Q22)</f>
        <v>0.26499999999999996</v>
      </c>
      <c r="S22" s="17">
        <f t="shared" ref="S22:S38" si="21">R22/4.2427*J22/K22</f>
        <v>0.14195505863547439</v>
      </c>
      <c r="T22" s="17">
        <f t="shared" ref="T22:T38" si="22">S22*342.3</f>
        <v>48.591216570922889</v>
      </c>
      <c r="U22" s="17">
        <f t="shared" ref="U22:U38" si="23">T22*0.42</f>
        <v>20.408310959787613</v>
      </c>
      <c r="V22" s="19">
        <f t="shared" si="16"/>
        <v>204.08310959787613</v>
      </c>
      <c r="W22" s="17">
        <f t="shared" si="17"/>
        <v>199.59328118672283</v>
      </c>
      <c r="Y22" s="20">
        <f t="shared" si="18"/>
        <v>0.19959328118672284</v>
      </c>
    </row>
    <row r="23" spans="1:25" s="17" customFormat="1" x14ac:dyDescent="0.25">
      <c r="A23" s="17">
        <v>20230530</v>
      </c>
      <c r="B23" s="17" t="s">
        <v>17</v>
      </c>
      <c r="C23" s="17">
        <v>2</v>
      </c>
      <c r="D23" s="17" t="s">
        <v>30</v>
      </c>
      <c r="E23" s="17" t="s">
        <v>18</v>
      </c>
      <c r="F23" s="17" t="s">
        <v>21</v>
      </c>
      <c r="G23" s="18">
        <v>10</v>
      </c>
      <c r="J23" s="18">
        <v>0.25</v>
      </c>
      <c r="K23" s="18">
        <v>0.11</v>
      </c>
      <c r="L23" s="18">
        <v>0.40899999999999997</v>
      </c>
      <c r="M23" s="18">
        <v>0.41099999999999998</v>
      </c>
      <c r="N23" s="18">
        <v>1.1990000000000001</v>
      </c>
      <c r="O23" s="18">
        <v>1.2450000000000001</v>
      </c>
      <c r="P23" s="17">
        <f t="shared" si="15"/>
        <v>0.79</v>
      </c>
      <c r="Q23" s="17">
        <f t="shared" si="19"/>
        <v>0.83400000000000007</v>
      </c>
      <c r="R23" s="17">
        <f t="shared" si="20"/>
        <v>0.81200000000000006</v>
      </c>
      <c r="S23" s="17">
        <f t="shared" si="21"/>
        <v>0.43497172683775553</v>
      </c>
      <c r="T23" s="17">
        <f t="shared" si="22"/>
        <v>148.89082209656374</v>
      </c>
      <c r="U23" s="17">
        <f t="shared" si="23"/>
        <v>62.534145280556771</v>
      </c>
      <c r="V23" s="19">
        <f t="shared" si="16"/>
        <v>625.34145280556777</v>
      </c>
      <c r="W23" s="17">
        <f t="shared" si="17"/>
        <v>611.5839408438452</v>
      </c>
      <c r="Y23" s="20">
        <f t="shared" si="18"/>
        <v>0.61158394084384515</v>
      </c>
    </row>
    <row r="24" spans="1:25" s="17" customFormat="1" x14ac:dyDescent="0.25">
      <c r="A24" s="17">
        <v>20230530</v>
      </c>
      <c r="B24" s="17" t="s">
        <v>17</v>
      </c>
      <c r="C24" s="17">
        <v>2</v>
      </c>
      <c r="D24" s="17" t="s">
        <v>30</v>
      </c>
      <c r="E24" s="17" t="s">
        <v>19</v>
      </c>
      <c r="F24" s="17" t="s">
        <v>21</v>
      </c>
      <c r="G24" s="18">
        <v>10</v>
      </c>
      <c r="J24" s="18">
        <v>0.25</v>
      </c>
      <c r="K24" s="18">
        <v>0.11</v>
      </c>
      <c r="L24" s="18">
        <v>0.32900000000000001</v>
      </c>
      <c r="M24" s="18">
        <v>0.32600000000000001</v>
      </c>
      <c r="N24" s="18">
        <v>0.88600000000000001</v>
      </c>
      <c r="O24" s="18">
        <v>0.91200000000000003</v>
      </c>
      <c r="P24" s="17">
        <f t="shared" ref="P24:P38" si="24">N24-L24</f>
        <v>0.55699999999999994</v>
      </c>
      <c r="Q24" s="17">
        <f t="shared" si="19"/>
        <v>0.58600000000000008</v>
      </c>
      <c r="R24" s="17">
        <f t="shared" si="20"/>
        <v>0.57150000000000001</v>
      </c>
      <c r="S24" s="17">
        <f t="shared" si="21"/>
        <v>0.30614081513273061</v>
      </c>
      <c r="T24" s="17">
        <f t="shared" si="22"/>
        <v>104.79200101993369</v>
      </c>
      <c r="U24" s="17">
        <f t="shared" si="23"/>
        <v>44.012640428372151</v>
      </c>
      <c r="V24" s="19">
        <f t="shared" si="16"/>
        <v>440.12640428372151</v>
      </c>
      <c r="W24" s="17">
        <f t="shared" si="17"/>
        <v>430.44362338947963</v>
      </c>
      <c r="Y24" s="20">
        <f t="shared" si="18"/>
        <v>0.43044362338947961</v>
      </c>
    </row>
    <row r="25" spans="1:25" s="17" customFormat="1" x14ac:dyDescent="0.25">
      <c r="A25" s="17">
        <v>20230531</v>
      </c>
      <c r="B25" s="17" t="s">
        <v>17</v>
      </c>
      <c r="C25" s="17">
        <v>2</v>
      </c>
      <c r="D25" s="17" t="s">
        <v>30</v>
      </c>
      <c r="E25" s="17" t="s">
        <v>27</v>
      </c>
      <c r="F25" s="17" t="s">
        <v>21</v>
      </c>
      <c r="G25" s="18">
        <v>10</v>
      </c>
      <c r="J25" s="18">
        <v>0.25</v>
      </c>
      <c r="K25" s="18">
        <v>0.11</v>
      </c>
      <c r="L25" s="18">
        <v>0.35499999999999998</v>
      </c>
      <c r="M25" s="18">
        <v>0.35599999999999998</v>
      </c>
      <c r="N25" s="18">
        <v>0.69899999999999995</v>
      </c>
      <c r="O25" s="18">
        <v>0.71</v>
      </c>
      <c r="P25" s="17">
        <f t="shared" si="24"/>
        <v>0.34399999999999997</v>
      </c>
      <c r="Q25" s="17">
        <f t="shared" si="19"/>
        <v>0.35399999999999998</v>
      </c>
      <c r="R25" s="17">
        <f t="shared" si="20"/>
        <v>0.34899999999999998</v>
      </c>
      <c r="S25" s="17">
        <f t="shared" si="21"/>
        <v>0.18695213382558701</v>
      </c>
      <c r="T25" s="17">
        <f t="shared" si="22"/>
        <v>63.993715408498431</v>
      </c>
      <c r="U25" s="17">
        <f t="shared" si="23"/>
        <v>26.877360471569339</v>
      </c>
      <c r="V25" s="19">
        <f t="shared" si="16"/>
        <v>268.77360471569341</v>
      </c>
      <c r="W25" s="17">
        <f t="shared" si="17"/>
        <v>262.86058541194814</v>
      </c>
      <c r="Y25" s="20">
        <f t="shared" si="18"/>
        <v>0.26286058541194812</v>
      </c>
    </row>
    <row r="26" spans="1:25" s="17" customFormat="1" x14ac:dyDescent="0.25">
      <c r="A26" s="17">
        <v>20230530</v>
      </c>
      <c r="B26" s="17" t="s">
        <v>17</v>
      </c>
      <c r="C26" s="17">
        <v>3</v>
      </c>
      <c r="D26" s="17" t="s">
        <v>30</v>
      </c>
      <c r="E26" s="17" t="s">
        <v>18</v>
      </c>
      <c r="F26" s="17" t="s">
        <v>21</v>
      </c>
      <c r="G26" s="18">
        <v>10</v>
      </c>
      <c r="J26" s="18">
        <v>0.25</v>
      </c>
      <c r="K26" s="18">
        <v>0.11</v>
      </c>
      <c r="L26" s="18">
        <v>0.311</v>
      </c>
      <c r="M26" s="18">
        <v>0.316</v>
      </c>
      <c r="N26" s="18">
        <v>0.67500000000000004</v>
      </c>
      <c r="O26" s="18">
        <v>0.69899999999999995</v>
      </c>
      <c r="P26" s="17">
        <f t="shared" si="24"/>
        <v>0.36400000000000005</v>
      </c>
      <c r="Q26" s="17">
        <f t="shared" si="19"/>
        <v>0.38299999999999995</v>
      </c>
      <c r="R26" s="17">
        <f t="shared" si="20"/>
        <v>0.3735</v>
      </c>
      <c r="S26" s="17">
        <f t="shared" si="21"/>
        <v>0.20007628075603659</v>
      </c>
      <c r="T26" s="17">
        <f t="shared" si="22"/>
        <v>68.486110902791324</v>
      </c>
      <c r="U26" s="17">
        <f t="shared" si="23"/>
        <v>28.764166579172354</v>
      </c>
      <c r="V26" s="19">
        <f t="shared" si="16"/>
        <v>287.64166579172354</v>
      </c>
      <c r="W26" s="17">
        <f t="shared" si="17"/>
        <v>281.31354914430563</v>
      </c>
      <c r="Y26" s="20">
        <f t="shared" si="18"/>
        <v>0.28131354914430562</v>
      </c>
    </row>
    <row r="27" spans="1:25" s="17" customFormat="1" x14ac:dyDescent="0.25">
      <c r="A27" s="17">
        <v>20230531</v>
      </c>
      <c r="B27" s="17" t="s">
        <v>17</v>
      </c>
      <c r="C27" s="17">
        <v>3</v>
      </c>
      <c r="D27" s="17" t="s">
        <v>30</v>
      </c>
      <c r="E27" s="17" t="s">
        <v>19</v>
      </c>
      <c r="F27" s="17" t="s">
        <v>21</v>
      </c>
      <c r="G27" s="18">
        <v>10</v>
      </c>
      <c r="J27" s="18">
        <v>0.25</v>
      </c>
      <c r="K27" s="18">
        <v>0.11</v>
      </c>
      <c r="L27" s="18">
        <v>0.32300000000000001</v>
      </c>
      <c r="M27" s="18">
        <v>0.32600000000000001</v>
      </c>
      <c r="N27" s="18">
        <v>0.59499999999999997</v>
      </c>
      <c r="O27" s="18">
        <v>0.52900000000000003</v>
      </c>
      <c r="P27" s="17">
        <f t="shared" si="24"/>
        <v>0.27199999999999996</v>
      </c>
      <c r="Q27" s="17">
        <f t="shared" si="19"/>
        <v>0.20300000000000001</v>
      </c>
      <c r="R27" s="17">
        <f t="shared" si="20"/>
        <v>0.23749999999999999</v>
      </c>
      <c r="S27" s="17">
        <f t="shared" si="21"/>
        <v>0.12722387330537799</v>
      </c>
      <c r="T27" s="17">
        <f t="shared" si="22"/>
        <v>43.548731832430889</v>
      </c>
      <c r="U27" s="17">
        <f t="shared" si="23"/>
        <v>18.290467369620973</v>
      </c>
      <c r="V27" s="19">
        <f t="shared" si="16"/>
        <v>182.90467369620973</v>
      </c>
      <c r="W27" s="17">
        <f t="shared" si="17"/>
        <v>178.8807708748931</v>
      </c>
      <c r="Y27" s="20">
        <f t="shared" si="18"/>
        <v>0.1788807708748931</v>
      </c>
    </row>
    <row r="28" spans="1:25" s="17" customFormat="1" x14ac:dyDescent="0.25">
      <c r="A28" s="17">
        <v>20230531</v>
      </c>
      <c r="B28" s="17" t="s">
        <v>17</v>
      </c>
      <c r="C28" s="17">
        <v>3</v>
      </c>
      <c r="D28" s="17" t="s">
        <v>30</v>
      </c>
      <c r="E28" s="17" t="s">
        <v>27</v>
      </c>
      <c r="F28" s="17" t="s">
        <v>21</v>
      </c>
      <c r="G28" s="18">
        <v>10</v>
      </c>
      <c r="J28" s="18">
        <v>0.25</v>
      </c>
      <c r="K28" s="18">
        <v>0.11</v>
      </c>
      <c r="L28" s="18">
        <v>0.28899999999999998</v>
      </c>
      <c r="M28" s="18">
        <v>0.29199999999999998</v>
      </c>
      <c r="N28" s="18">
        <v>0.54800000000000004</v>
      </c>
      <c r="O28" s="18">
        <v>0.52700000000000002</v>
      </c>
      <c r="P28" s="17">
        <f t="shared" si="24"/>
        <v>0.25900000000000006</v>
      </c>
      <c r="Q28" s="17">
        <f t="shared" si="19"/>
        <v>0.23500000000000004</v>
      </c>
      <c r="R28" s="17">
        <f t="shared" si="20"/>
        <v>0.24700000000000005</v>
      </c>
      <c r="S28" s="17">
        <f t="shared" si="21"/>
        <v>0.13231282823759313</v>
      </c>
      <c r="T28" s="17">
        <f t="shared" si="22"/>
        <v>45.290681105728133</v>
      </c>
      <c r="U28" s="17">
        <f t="shared" si="23"/>
        <v>19.022086064405816</v>
      </c>
      <c r="V28" s="19">
        <f t="shared" si="16"/>
        <v>190.22086064405815</v>
      </c>
      <c r="W28" s="17">
        <f t="shared" si="17"/>
        <v>186.03600170988886</v>
      </c>
      <c r="Y28" s="20">
        <f t="shared" si="18"/>
        <v>0.18603600170988888</v>
      </c>
    </row>
    <row r="29" spans="1:25" s="17" customFormat="1" x14ac:dyDescent="0.25">
      <c r="A29" s="17">
        <v>20230601</v>
      </c>
      <c r="B29" s="17" t="s">
        <v>17</v>
      </c>
      <c r="C29" s="17">
        <v>4</v>
      </c>
      <c r="D29" s="17" t="s">
        <v>30</v>
      </c>
      <c r="E29" s="17" t="s">
        <v>18</v>
      </c>
      <c r="F29" s="17" t="s">
        <v>21</v>
      </c>
      <c r="G29" s="18">
        <v>10</v>
      </c>
      <c r="J29" s="18">
        <v>0.25</v>
      </c>
      <c r="K29" s="18">
        <v>0.11</v>
      </c>
      <c r="L29" s="18">
        <v>0.33300000000000002</v>
      </c>
      <c r="M29" s="18">
        <v>0.33500000000000002</v>
      </c>
      <c r="N29" s="18">
        <v>0.73599999999999999</v>
      </c>
      <c r="O29" s="18">
        <v>0.73899999999999999</v>
      </c>
      <c r="P29" s="17">
        <f t="shared" si="24"/>
        <v>0.40299999999999997</v>
      </c>
      <c r="Q29" s="17">
        <f t="shared" si="19"/>
        <v>0.40399999999999997</v>
      </c>
      <c r="R29" s="17">
        <f t="shared" si="20"/>
        <v>0.40349999999999997</v>
      </c>
      <c r="S29" s="17">
        <f t="shared" si="21"/>
        <v>0.21614666475250535</v>
      </c>
      <c r="T29" s="17">
        <f t="shared" si="22"/>
        <v>73.987003344782579</v>
      </c>
      <c r="U29" s="17">
        <f t="shared" si="23"/>
        <v>31.074541404808681</v>
      </c>
      <c r="V29" s="19">
        <f t="shared" si="16"/>
        <v>310.74541404808679</v>
      </c>
      <c r="W29" s="17">
        <f t="shared" si="17"/>
        <v>303.90901493902885</v>
      </c>
      <c r="Y29" s="20">
        <f t="shared" si="18"/>
        <v>0.30390901493902883</v>
      </c>
    </row>
    <row r="30" spans="1:25" s="17" customFormat="1" x14ac:dyDescent="0.25">
      <c r="A30" s="17">
        <v>20230601</v>
      </c>
      <c r="B30" s="17" t="s">
        <v>17</v>
      </c>
      <c r="C30" s="17">
        <v>4</v>
      </c>
      <c r="D30" s="17" t="s">
        <v>30</v>
      </c>
      <c r="E30" s="17" t="s">
        <v>19</v>
      </c>
      <c r="F30" s="17" t="s">
        <v>21</v>
      </c>
      <c r="G30" s="18">
        <v>10</v>
      </c>
      <c r="J30" s="18">
        <v>0.25</v>
      </c>
      <c r="K30" s="18">
        <v>0.11</v>
      </c>
      <c r="L30" s="18">
        <v>0.30399999999999999</v>
      </c>
      <c r="M30" s="18">
        <v>0.30399999999999999</v>
      </c>
      <c r="N30" s="18">
        <v>0.50600000000000001</v>
      </c>
      <c r="O30" s="18">
        <v>0.47899999999999998</v>
      </c>
      <c r="P30" s="17">
        <f t="shared" si="24"/>
        <v>0.20200000000000001</v>
      </c>
      <c r="Q30" s="17">
        <f t="shared" si="19"/>
        <v>0.17499999999999999</v>
      </c>
      <c r="R30" s="17">
        <f t="shared" si="20"/>
        <v>0.1885</v>
      </c>
      <c r="S30" s="17">
        <f t="shared" si="21"/>
        <v>0.10097557944447896</v>
      </c>
      <c r="T30" s="17">
        <f t="shared" si="22"/>
        <v>34.563940843845153</v>
      </c>
      <c r="U30" s="17">
        <f t="shared" si="23"/>
        <v>14.516855154414964</v>
      </c>
      <c r="V30" s="19">
        <f t="shared" si="16"/>
        <v>145.16855154414964</v>
      </c>
      <c r="W30" s="17">
        <f t="shared" si="17"/>
        <v>141.97484341017835</v>
      </c>
      <c r="Y30" s="20">
        <f t="shared" si="18"/>
        <v>0.14197484341017835</v>
      </c>
    </row>
    <row r="31" spans="1:25" s="17" customFormat="1" x14ac:dyDescent="0.25">
      <c r="A31" s="17">
        <v>20230601</v>
      </c>
      <c r="B31" s="17" t="s">
        <v>17</v>
      </c>
      <c r="C31" s="17">
        <v>4</v>
      </c>
      <c r="D31" s="17" t="s">
        <v>30</v>
      </c>
      <c r="E31" s="17" t="s">
        <v>27</v>
      </c>
      <c r="F31" s="17" t="s">
        <v>21</v>
      </c>
      <c r="G31" s="18">
        <v>10</v>
      </c>
      <c r="J31" s="18">
        <v>0.25</v>
      </c>
      <c r="K31" s="18">
        <v>0.11</v>
      </c>
      <c r="L31" s="18">
        <v>0.32700000000000001</v>
      </c>
      <c r="M31" s="18">
        <v>0.33900000000000002</v>
      </c>
      <c r="N31" s="18">
        <v>0.623</v>
      </c>
      <c r="O31" s="18">
        <v>0.63900000000000001</v>
      </c>
      <c r="P31" s="17">
        <f t="shared" si="24"/>
        <v>0.29599999999999999</v>
      </c>
      <c r="Q31" s="17">
        <f t="shared" si="19"/>
        <v>0.3</v>
      </c>
      <c r="R31" s="17">
        <f t="shared" si="20"/>
        <v>0.29799999999999999</v>
      </c>
      <c r="S31" s="17">
        <f t="shared" si="21"/>
        <v>0.15963248103159008</v>
      </c>
      <c r="T31" s="17">
        <f t="shared" si="22"/>
        <v>54.642198257113286</v>
      </c>
      <c r="U31" s="17">
        <f t="shared" si="23"/>
        <v>22.949723267987579</v>
      </c>
      <c r="V31" s="19">
        <f t="shared" si="16"/>
        <v>229.49723267987579</v>
      </c>
      <c r="W31" s="17">
        <f t="shared" si="17"/>
        <v>224.4482935609185</v>
      </c>
      <c r="Y31" s="20">
        <f t="shared" si="18"/>
        <v>0.2244482935609185</v>
      </c>
    </row>
    <row r="32" spans="1:25" s="17" customFormat="1" x14ac:dyDescent="0.25">
      <c r="A32" s="17">
        <v>20230531</v>
      </c>
      <c r="B32" s="17" t="s">
        <v>17</v>
      </c>
      <c r="C32" s="17">
        <v>5</v>
      </c>
      <c r="D32" s="17" t="s">
        <v>30</v>
      </c>
      <c r="E32" s="17" t="s">
        <v>18</v>
      </c>
      <c r="F32" s="17" t="s">
        <v>21</v>
      </c>
      <c r="G32" s="18">
        <v>10</v>
      </c>
      <c r="J32" s="18">
        <v>0.25</v>
      </c>
      <c r="K32" s="18">
        <v>0.11</v>
      </c>
      <c r="L32" s="18">
        <v>0.34499999999999997</v>
      </c>
      <c r="M32" s="18">
        <v>0.36899999999999999</v>
      </c>
      <c r="N32" s="18">
        <v>0.68600000000000005</v>
      </c>
      <c r="O32" s="18">
        <v>0.85799999999999998</v>
      </c>
      <c r="P32" s="17">
        <f t="shared" si="24"/>
        <v>0.34100000000000008</v>
      </c>
      <c r="Q32" s="17">
        <f t="shared" si="19"/>
        <v>0.48899999999999999</v>
      </c>
      <c r="R32" s="17">
        <f t="shared" si="20"/>
        <v>0.41500000000000004</v>
      </c>
      <c r="S32" s="17">
        <f t="shared" si="21"/>
        <v>0.22230697861781842</v>
      </c>
      <c r="T32" s="17">
        <f t="shared" si="22"/>
        <v>76.095678780879254</v>
      </c>
      <c r="U32" s="17">
        <f t="shared" si="23"/>
        <v>31.960185087969286</v>
      </c>
      <c r="V32" s="19">
        <f t="shared" si="16"/>
        <v>319.60185087969285</v>
      </c>
      <c r="W32" s="17">
        <f t="shared" si="17"/>
        <v>312.57061016033958</v>
      </c>
      <c r="Y32" s="20">
        <f t="shared" si="18"/>
        <v>0.3125706101603396</v>
      </c>
    </row>
    <row r="33" spans="1:25" s="17" customFormat="1" x14ac:dyDescent="0.25">
      <c r="A33" s="17">
        <v>20230531</v>
      </c>
      <c r="B33" s="17" t="s">
        <v>17</v>
      </c>
      <c r="C33" s="17">
        <v>5</v>
      </c>
      <c r="D33" s="17" t="s">
        <v>30</v>
      </c>
      <c r="E33" s="17" t="s">
        <v>19</v>
      </c>
      <c r="F33" s="17" t="s">
        <v>21</v>
      </c>
      <c r="G33" s="18">
        <v>10</v>
      </c>
      <c r="J33" s="18">
        <v>0.25</v>
      </c>
      <c r="K33" s="18">
        <v>0.11</v>
      </c>
      <c r="L33" s="18">
        <v>0.51400000000000001</v>
      </c>
      <c r="M33" s="18">
        <v>0.33600000000000002</v>
      </c>
      <c r="N33" s="18">
        <v>1.173</v>
      </c>
      <c r="O33" s="18">
        <v>0.64500000000000002</v>
      </c>
      <c r="P33" s="17">
        <f t="shared" si="24"/>
        <v>0.65900000000000003</v>
      </c>
      <c r="Q33" s="17">
        <f t="shared" si="19"/>
        <v>0.309</v>
      </c>
      <c r="R33" s="17">
        <f t="shared" si="20"/>
        <v>0.48399999999999999</v>
      </c>
      <c r="S33" s="17">
        <f t="shared" si="21"/>
        <v>0.25926886180969666</v>
      </c>
      <c r="T33" s="17">
        <f t="shared" si="22"/>
        <v>88.747731397459177</v>
      </c>
      <c r="U33" s="17">
        <f t="shared" si="23"/>
        <v>37.274047186932854</v>
      </c>
      <c r="V33" s="19">
        <f t="shared" si="16"/>
        <v>372.74047186932853</v>
      </c>
      <c r="W33" s="17">
        <f t="shared" si="17"/>
        <v>364.5401814882033</v>
      </c>
      <c r="Y33" s="20">
        <f t="shared" si="18"/>
        <v>0.36454018148820333</v>
      </c>
    </row>
    <row r="34" spans="1:25" s="17" customFormat="1" x14ac:dyDescent="0.25">
      <c r="A34" s="17">
        <v>20230531</v>
      </c>
      <c r="B34" s="17" t="s">
        <v>17</v>
      </c>
      <c r="C34" s="17">
        <v>5</v>
      </c>
      <c r="D34" s="17" t="s">
        <v>30</v>
      </c>
      <c r="E34" s="17" t="s">
        <v>27</v>
      </c>
      <c r="F34" s="17" t="s">
        <v>21</v>
      </c>
      <c r="G34" s="18">
        <v>10</v>
      </c>
      <c r="J34" s="18">
        <v>0.25</v>
      </c>
      <c r="K34" s="18">
        <v>0.11</v>
      </c>
      <c r="L34" s="18">
        <v>0.32200000000000001</v>
      </c>
      <c r="M34" s="18">
        <v>0.34</v>
      </c>
      <c r="N34" s="18">
        <v>0.65600000000000003</v>
      </c>
      <c r="O34" s="18">
        <v>0.91600000000000004</v>
      </c>
      <c r="P34" s="17">
        <f t="shared" si="24"/>
        <v>0.33400000000000002</v>
      </c>
      <c r="Q34" s="17">
        <f t="shared" si="19"/>
        <v>0.57600000000000007</v>
      </c>
      <c r="R34" s="17">
        <f t="shared" si="20"/>
        <v>0.45500000000000007</v>
      </c>
      <c r="S34" s="17">
        <f t="shared" si="21"/>
        <v>0.24373415727977685</v>
      </c>
      <c r="T34" s="17">
        <f t="shared" si="22"/>
        <v>83.430202036867612</v>
      </c>
      <c r="U34" s="17">
        <f t="shared" si="23"/>
        <v>35.040684855484393</v>
      </c>
      <c r="V34" s="19">
        <f t="shared" si="16"/>
        <v>350.40684855484392</v>
      </c>
      <c r="W34" s="17">
        <f t="shared" si="17"/>
        <v>342.69789788663735</v>
      </c>
      <c r="Y34" s="20">
        <f t="shared" si="18"/>
        <v>0.34269789788663735</v>
      </c>
    </row>
    <row r="35" spans="1:25" s="17" customFormat="1" x14ac:dyDescent="0.25">
      <c r="A35" s="17">
        <v>20230601</v>
      </c>
      <c r="B35" s="17" t="s">
        <v>17</v>
      </c>
      <c r="C35" s="17">
        <v>6</v>
      </c>
      <c r="D35" s="17" t="s">
        <v>30</v>
      </c>
      <c r="E35" s="17" t="s">
        <v>18</v>
      </c>
      <c r="F35" s="17" t="s">
        <v>21</v>
      </c>
      <c r="G35" s="18">
        <v>10</v>
      </c>
      <c r="J35" s="18">
        <v>0.25</v>
      </c>
      <c r="K35" s="18">
        <v>0.11</v>
      </c>
      <c r="L35" s="18">
        <v>0.34300000000000003</v>
      </c>
      <c r="M35" s="18">
        <v>0.28000000000000003</v>
      </c>
      <c r="N35" s="18">
        <v>0.92600000000000005</v>
      </c>
      <c r="O35" s="18">
        <v>0.71299999999999997</v>
      </c>
      <c r="P35" s="17">
        <f t="shared" si="24"/>
        <v>0.58299999999999996</v>
      </c>
      <c r="Q35" s="17">
        <f t="shared" si="19"/>
        <v>0.43299999999999994</v>
      </c>
      <c r="R35" s="17">
        <f t="shared" si="20"/>
        <v>0.50800000000000001</v>
      </c>
      <c r="S35" s="17">
        <f t="shared" si="21"/>
        <v>0.27212516900687167</v>
      </c>
      <c r="T35" s="17">
        <f t="shared" si="22"/>
        <v>93.148445351052175</v>
      </c>
      <c r="U35" s="17">
        <f t="shared" si="23"/>
        <v>39.122347047441913</v>
      </c>
      <c r="V35" s="19">
        <f t="shared" si="16"/>
        <v>391.22347047441912</v>
      </c>
      <c r="W35" s="17">
        <f t="shared" si="17"/>
        <v>382.61655412398187</v>
      </c>
      <c r="Y35" s="20">
        <f t="shared" si="18"/>
        <v>0.38261655412398188</v>
      </c>
    </row>
    <row r="36" spans="1:25" s="17" customFormat="1" x14ac:dyDescent="0.25">
      <c r="A36" s="17">
        <v>20230601</v>
      </c>
      <c r="B36" s="17" t="s">
        <v>17</v>
      </c>
      <c r="C36" s="17">
        <v>6</v>
      </c>
      <c r="D36" s="17" t="s">
        <v>30</v>
      </c>
      <c r="E36" s="17" t="s">
        <v>19</v>
      </c>
      <c r="F36" s="17" t="s">
        <v>21</v>
      </c>
      <c r="G36" s="18">
        <v>10</v>
      </c>
      <c r="J36" s="18">
        <v>0.25</v>
      </c>
      <c r="K36" s="18">
        <v>0.11</v>
      </c>
      <c r="L36" s="18">
        <v>0.28699999999999998</v>
      </c>
      <c r="M36" s="18">
        <v>0.26500000000000001</v>
      </c>
      <c r="N36" s="18">
        <v>0.48399999999999999</v>
      </c>
      <c r="O36" s="18">
        <v>0.48099999999999998</v>
      </c>
      <c r="P36" s="17">
        <f t="shared" si="24"/>
        <v>0.19700000000000001</v>
      </c>
      <c r="Q36" s="17">
        <f t="shared" si="19"/>
        <v>0.21599999999999997</v>
      </c>
      <c r="R36" s="17">
        <f t="shared" si="20"/>
        <v>0.20649999999999999</v>
      </c>
      <c r="S36" s="17">
        <f t="shared" si="21"/>
        <v>0.11061780984236023</v>
      </c>
      <c r="T36" s="17">
        <f t="shared" si="22"/>
        <v>37.864476309039908</v>
      </c>
      <c r="U36" s="17">
        <f t="shared" si="23"/>
        <v>15.903080049796761</v>
      </c>
      <c r="V36" s="19">
        <f t="shared" si="16"/>
        <v>159.03080049796762</v>
      </c>
      <c r="W36" s="17">
        <f t="shared" si="17"/>
        <v>155.53212288701232</v>
      </c>
      <c r="Y36" s="20">
        <f t="shared" si="18"/>
        <v>0.15553212288701232</v>
      </c>
    </row>
    <row r="37" spans="1:25" s="17" customFormat="1" x14ac:dyDescent="0.25">
      <c r="A37" s="17">
        <v>20230601</v>
      </c>
      <c r="B37" s="17" t="s">
        <v>17</v>
      </c>
      <c r="C37" s="17">
        <v>6</v>
      </c>
      <c r="D37" s="17" t="s">
        <v>30</v>
      </c>
      <c r="E37" s="17" t="s">
        <v>27</v>
      </c>
      <c r="F37" s="17" t="s">
        <v>21</v>
      </c>
      <c r="G37" s="18">
        <v>10</v>
      </c>
      <c r="J37" s="18">
        <v>0.25</v>
      </c>
      <c r="K37" s="18">
        <v>0.11</v>
      </c>
      <c r="L37" s="18">
        <v>0.29599999999999999</v>
      </c>
      <c r="M37" s="18">
        <v>0.27200000000000002</v>
      </c>
      <c r="N37" s="18">
        <v>0.54</v>
      </c>
      <c r="O37" s="18">
        <v>0.40300000000000002</v>
      </c>
      <c r="P37" s="17">
        <f t="shared" si="24"/>
        <v>0.24400000000000005</v>
      </c>
      <c r="Q37" s="17">
        <f t="shared" si="19"/>
        <v>0.13100000000000001</v>
      </c>
      <c r="R37" s="17">
        <f t="shared" si="20"/>
        <v>0.18750000000000003</v>
      </c>
      <c r="S37" s="17">
        <f t="shared" si="21"/>
        <v>0.10043989997793001</v>
      </c>
      <c r="T37" s="17">
        <f t="shared" si="22"/>
        <v>34.380577762445448</v>
      </c>
      <c r="U37" s="17">
        <f t="shared" si="23"/>
        <v>14.439842660227088</v>
      </c>
      <c r="V37" s="19">
        <f t="shared" si="16"/>
        <v>144.39842660227089</v>
      </c>
      <c r="W37" s="17">
        <f t="shared" si="17"/>
        <v>141.22166121702091</v>
      </c>
      <c r="Y37" s="20">
        <f t="shared" si="18"/>
        <v>0.1412216612170209</v>
      </c>
    </row>
    <row r="38" spans="1:25" s="17" customFormat="1" x14ac:dyDescent="0.25">
      <c r="A38" s="17">
        <v>20230531</v>
      </c>
      <c r="B38" s="17" t="s">
        <v>17</v>
      </c>
      <c r="C38" s="17">
        <v>1</v>
      </c>
      <c r="D38" s="17" t="s">
        <v>31</v>
      </c>
      <c r="F38" s="17" t="s">
        <v>21</v>
      </c>
      <c r="G38" s="18">
        <v>10</v>
      </c>
      <c r="J38" s="18">
        <v>0.25</v>
      </c>
      <c r="K38" s="18">
        <v>0.11</v>
      </c>
      <c r="L38" s="18">
        <v>0.33100000000000002</v>
      </c>
      <c r="M38" s="18">
        <v>0.28799999999999998</v>
      </c>
      <c r="N38" s="18">
        <v>0.54700000000000004</v>
      </c>
      <c r="O38" s="18">
        <v>0.48799999999999999</v>
      </c>
      <c r="P38" s="17">
        <f t="shared" si="24"/>
        <v>0.21600000000000003</v>
      </c>
      <c r="Q38" s="17">
        <f t="shared" si="19"/>
        <v>0.2</v>
      </c>
      <c r="R38" s="17">
        <f t="shared" si="20"/>
        <v>0.20800000000000002</v>
      </c>
      <c r="S38" s="17">
        <f t="shared" si="21"/>
        <v>0.11142132904218369</v>
      </c>
      <c r="T38" s="17">
        <f t="shared" si="22"/>
        <v>38.139520931139479</v>
      </c>
      <c r="U38" s="17">
        <f t="shared" si="23"/>
        <v>16.018598791078581</v>
      </c>
      <c r="V38" s="19">
        <f t="shared" si="16"/>
        <v>160.1859879107858</v>
      </c>
      <c r="W38" s="17">
        <f t="shared" si="17"/>
        <v>156.66189617674851</v>
      </c>
      <c r="Y38" s="20">
        <f t="shared" si="18"/>
        <v>0.1566618961767485</v>
      </c>
    </row>
    <row r="39" spans="1:25" s="17" customFormat="1" x14ac:dyDescent="0.25">
      <c r="A39" s="17">
        <v>20230530</v>
      </c>
      <c r="B39" s="17" t="s">
        <v>17</v>
      </c>
      <c r="C39" s="17">
        <v>2</v>
      </c>
      <c r="D39" s="17" t="s">
        <v>31</v>
      </c>
      <c r="F39" s="17" t="s">
        <v>21</v>
      </c>
      <c r="G39" s="18">
        <v>10</v>
      </c>
      <c r="J39" s="18">
        <v>0.25</v>
      </c>
      <c r="K39" s="18">
        <v>0.11</v>
      </c>
      <c r="L39" s="18">
        <v>0.33700000000000002</v>
      </c>
      <c r="M39" s="18">
        <v>0.33300000000000002</v>
      </c>
      <c r="N39" s="18">
        <v>0.624</v>
      </c>
      <c r="O39" s="18">
        <v>0.66900000000000004</v>
      </c>
      <c r="P39" s="17">
        <f t="shared" ref="P39:P43" si="25">N39-L39</f>
        <v>0.28699999999999998</v>
      </c>
      <c r="Q39" s="17">
        <f t="shared" ref="Q39:Q43" si="26">O39-M39</f>
        <v>0.33600000000000002</v>
      </c>
      <c r="R39" s="17">
        <f t="shared" ref="R39:R43" si="27">AVERAGE(P39:Q39)</f>
        <v>0.3115</v>
      </c>
      <c r="S39" s="17">
        <f t="shared" ref="S39:S43" si="28">R39/4.2427*J39/K39</f>
        <v>0.16686415383000103</v>
      </c>
      <c r="T39" s="17">
        <f t="shared" ref="T39:T43" si="29">S39*342.3</f>
        <v>57.117599856009356</v>
      </c>
      <c r="U39" s="17">
        <f t="shared" ref="U39:U43" si="30">T39*0.42</f>
        <v>23.98939193952393</v>
      </c>
      <c r="V39" s="19">
        <f t="shared" si="16"/>
        <v>239.89391939523929</v>
      </c>
      <c r="W39" s="17">
        <f t="shared" si="17"/>
        <v>234.61625316854403</v>
      </c>
      <c r="Y39" s="20">
        <f t="shared" si="18"/>
        <v>0.23461625316854404</v>
      </c>
    </row>
    <row r="40" spans="1:25" s="17" customFormat="1" x14ac:dyDescent="0.25">
      <c r="A40" s="17">
        <v>20230531</v>
      </c>
      <c r="B40" s="17" t="s">
        <v>17</v>
      </c>
      <c r="C40" s="17">
        <v>3</v>
      </c>
      <c r="D40" s="17" t="s">
        <v>31</v>
      </c>
      <c r="F40" s="17" t="s">
        <v>21</v>
      </c>
      <c r="G40" s="18">
        <v>10</v>
      </c>
      <c r="J40" s="18">
        <v>0.25</v>
      </c>
      <c r="K40" s="18">
        <v>0.11</v>
      </c>
      <c r="L40" s="18">
        <v>0.318</v>
      </c>
      <c r="M40" s="18">
        <v>0.28199999999999997</v>
      </c>
      <c r="N40" s="18">
        <v>0.43099999999999999</v>
      </c>
      <c r="O40" s="18">
        <v>0.4</v>
      </c>
      <c r="P40" s="17">
        <f t="shared" si="25"/>
        <v>0.11299999999999999</v>
      </c>
      <c r="Q40" s="17">
        <f t="shared" si="26"/>
        <v>0.11800000000000005</v>
      </c>
      <c r="R40" s="17">
        <f t="shared" si="27"/>
        <v>0.11550000000000002</v>
      </c>
      <c r="S40" s="17">
        <f t="shared" si="28"/>
        <v>6.1870978386404894E-2</v>
      </c>
      <c r="T40" s="17">
        <f t="shared" si="29"/>
        <v>21.178435901666397</v>
      </c>
      <c r="U40" s="17">
        <f t="shared" si="30"/>
        <v>8.8949430786998871</v>
      </c>
      <c r="V40" s="19">
        <f t="shared" si="16"/>
        <v>88.949430786998875</v>
      </c>
      <c r="W40" s="17">
        <f t="shared" si="17"/>
        <v>86.992543309684891</v>
      </c>
      <c r="Y40" s="20">
        <f t="shared" si="18"/>
        <v>8.6992543309684894E-2</v>
      </c>
    </row>
    <row r="41" spans="1:25" s="17" customFormat="1" x14ac:dyDescent="0.25">
      <c r="A41" s="17">
        <v>20230601</v>
      </c>
      <c r="B41" s="17" t="s">
        <v>17</v>
      </c>
      <c r="C41" s="17">
        <v>4</v>
      </c>
      <c r="D41" s="17" t="s">
        <v>31</v>
      </c>
      <c r="F41" s="17" t="s">
        <v>21</v>
      </c>
      <c r="G41" s="18">
        <v>10</v>
      </c>
      <c r="J41" s="18">
        <v>0.25</v>
      </c>
      <c r="K41" s="18">
        <v>0.11</v>
      </c>
      <c r="L41" s="18">
        <v>0.28199999999999997</v>
      </c>
      <c r="M41" s="18">
        <v>0.28299999999999997</v>
      </c>
      <c r="N41" s="18">
        <v>0.46300000000000002</v>
      </c>
      <c r="O41" s="18">
        <v>0.45100000000000001</v>
      </c>
      <c r="P41" s="17">
        <f t="shared" si="25"/>
        <v>0.18100000000000005</v>
      </c>
      <c r="Q41" s="17">
        <f t="shared" si="26"/>
        <v>0.16800000000000004</v>
      </c>
      <c r="R41" s="17">
        <f t="shared" si="27"/>
        <v>0.17450000000000004</v>
      </c>
      <c r="S41" s="17">
        <f t="shared" si="28"/>
        <v>9.3476066912793546E-2</v>
      </c>
      <c r="T41" s="17">
        <f t="shared" si="29"/>
        <v>31.996857704249233</v>
      </c>
      <c r="U41" s="17">
        <f t="shared" si="30"/>
        <v>13.438680235784677</v>
      </c>
      <c r="V41" s="19">
        <f t="shared" si="16"/>
        <v>134.38680235784676</v>
      </c>
      <c r="W41" s="17">
        <f t="shared" si="17"/>
        <v>131.43029270597413</v>
      </c>
      <c r="Y41" s="20">
        <f t="shared" si="18"/>
        <v>0.13143029270597412</v>
      </c>
    </row>
    <row r="42" spans="1:25" s="17" customFormat="1" x14ac:dyDescent="0.25">
      <c r="A42" s="17">
        <v>20230531</v>
      </c>
      <c r="B42" s="17" t="s">
        <v>17</v>
      </c>
      <c r="C42" s="17">
        <v>5</v>
      </c>
      <c r="D42" s="17" t="s">
        <v>31</v>
      </c>
      <c r="F42" s="17" t="s">
        <v>21</v>
      </c>
      <c r="G42" s="18">
        <v>10</v>
      </c>
      <c r="J42" s="18">
        <v>0.25</v>
      </c>
      <c r="K42" s="18">
        <v>0.11</v>
      </c>
      <c r="L42" s="18">
        <v>0.27200000000000002</v>
      </c>
      <c r="M42" s="18">
        <v>0.27</v>
      </c>
      <c r="N42" s="18">
        <v>0.35499999999999998</v>
      </c>
      <c r="O42" s="18">
        <v>0.36</v>
      </c>
      <c r="P42" s="17">
        <f t="shared" si="25"/>
        <v>8.2999999999999963E-2</v>
      </c>
      <c r="Q42" s="17">
        <f t="shared" si="26"/>
        <v>8.9999999999999969E-2</v>
      </c>
      <c r="R42" s="17">
        <f t="shared" si="27"/>
        <v>8.6499999999999966E-2</v>
      </c>
      <c r="S42" s="17">
        <f t="shared" si="28"/>
        <v>4.6336273856485019E-2</v>
      </c>
      <c r="T42" s="17">
        <f t="shared" si="29"/>
        <v>15.860906541074822</v>
      </c>
      <c r="U42" s="17">
        <f t="shared" si="30"/>
        <v>6.661580747251425</v>
      </c>
      <c r="V42" s="19">
        <f t="shared" si="16"/>
        <v>66.615807472514248</v>
      </c>
      <c r="W42" s="17">
        <f t="shared" si="17"/>
        <v>65.150259708118938</v>
      </c>
      <c r="Y42" s="20">
        <f t="shared" si="18"/>
        <v>6.5150259708118941E-2</v>
      </c>
    </row>
    <row r="43" spans="1:25" s="17" customFormat="1" x14ac:dyDescent="0.25">
      <c r="A43" s="17">
        <v>20230601</v>
      </c>
      <c r="B43" s="17" t="s">
        <v>17</v>
      </c>
      <c r="C43" s="17">
        <v>6</v>
      </c>
      <c r="D43" s="17" t="s">
        <v>31</v>
      </c>
      <c r="F43" s="17" t="s">
        <v>21</v>
      </c>
      <c r="G43" s="18">
        <v>10</v>
      </c>
      <c r="J43" s="18">
        <v>0.25</v>
      </c>
      <c r="K43" s="18">
        <v>0.11</v>
      </c>
      <c r="L43" s="18">
        <v>0.29499999999999998</v>
      </c>
      <c r="M43" s="18">
        <v>0.28599999999999998</v>
      </c>
      <c r="N43" s="18">
        <v>0.55400000000000005</v>
      </c>
      <c r="O43" s="18">
        <v>0.45700000000000002</v>
      </c>
      <c r="P43" s="17">
        <f t="shared" si="25"/>
        <v>0.25900000000000006</v>
      </c>
      <c r="Q43" s="17">
        <f t="shared" si="26"/>
        <v>0.17100000000000004</v>
      </c>
      <c r="R43" s="17">
        <f t="shared" si="27"/>
        <v>0.21500000000000005</v>
      </c>
      <c r="S43" s="17">
        <f t="shared" si="28"/>
        <v>0.11517108530802643</v>
      </c>
      <c r="T43" s="17">
        <f t="shared" si="29"/>
        <v>39.423062500937448</v>
      </c>
      <c r="U43" s="17">
        <f t="shared" si="30"/>
        <v>16.557686250393729</v>
      </c>
      <c r="V43" s="19">
        <f t="shared" si="16"/>
        <v>165.57686250393729</v>
      </c>
      <c r="W43" s="17">
        <f t="shared" si="17"/>
        <v>161.93417152885067</v>
      </c>
      <c r="Y43" s="20">
        <f t="shared" si="18"/>
        <v>0.16193417152885067</v>
      </c>
    </row>
    <row r="44" spans="1:25" x14ac:dyDescent="0.25">
      <c r="A44" s="7">
        <v>20230823</v>
      </c>
      <c r="B44" s="7" t="s">
        <v>26</v>
      </c>
      <c r="C44" s="7">
        <v>1</v>
      </c>
      <c r="D44" s="7" t="s">
        <v>29</v>
      </c>
      <c r="E44" s="7" t="s">
        <v>18</v>
      </c>
      <c r="F44" s="7" t="s">
        <v>21</v>
      </c>
      <c r="G44" s="8">
        <v>5</v>
      </c>
      <c r="H44" s="7">
        <v>10</v>
      </c>
      <c r="I44" s="7">
        <v>0.5</v>
      </c>
      <c r="J44" s="8">
        <v>0.25</v>
      </c>
      <c r="K44" s="8">
        <v>1.4999999999999999E-2</v>
      </c>
      <c r="L44" s="7">
        <v>0.29299999999999998</v>
      </c>
      <c r="M44" s="7">
        <v>0.27800000000000002</v>
      </c>
      <c r="N44" s="7">
        <v>0.30499999999999999</v>
      </c>
      <c r="O44" s="7">
        <v>0.29399999999999998</v>
      </c>
      <c r="P44" s="7">
        <f t="shared" ref="P44:P58" si="31">N44-L44</f>
        <v>1.2000000000000011E-2</v>
      </c>
      <c r="Q44" s="7">
        <f t="shared" ref="Q44:Q58" si="32">O44-M44</f>
        <v>1.5999999999999959E-2</v>
      </c>
      <c r="R44" s="7">
        <f t="shared" ref="R44:R58" si="33">AVERAGE(P44:Q44)</f>
        <v>1.3999999999999985E-2</v>
      </c>
      <c r="S44" s="7">
        <f t="shared" ref="S44:S58" si="34">R44/4.2427*J44/K44</f>
        <v>5.4996425232359841E-2</v>
      </c>
      <c r="T44" s="7">
        <f t="shared" ref="T44:T55" si="35">S44*342.3</f>
        <v>18.825276357036774</v>
      </c>
      <c r="U44" s="7">
        <f t="shared" ref="U44:U55" si="36">T44*0.42</f>
        <v>7.9066160699554446</v>
      </c>
      <c r="V44" s="9">
        <f>U44*I44</f>
        <v>3.9533080349777223</v>
      </c>
      <c r="W44" s="7">
        <f t="shared" si="6"/>
        <v>3.7161095528790589</v>
      </c>
    </row>
    <row r="45" spans="1:25" x14ac:dyDescent="0.25">
      <c r="A45" s="7">
        <v>20230823</v>
      </c>
      <c r="B45" s="7" t="s">
        <v>26</v>
      </c>
      <c r="C45" s="7">
        <v>1</v>
      </c>
      <c r="D45" s="7" t="s">
        <v>29</v>
      </c>
      <c r="E45" s="7" t="s">
        <v>19</v>
      </c>
      <c r="F45" s="7" t="s">
        <v>21</v>
      </c>
      <c r="G45" s="8">
        <v>5</v>
      </c>
      <c r="H45" s="7">
        <v>10</v>
      </c>
      <c r="I45" s="7">
        <v>0.5</v>
      </c>
      <c r="J45" s="8">
        <v>0.25</v>
      </c>
      <c r="K45" s="8">
        <v>1.4999999999999999E-2</v>
      </c>
      <c r="L45" s="7">
        <v>0.28299999999999997</v>
      </c>
      <c r="M45" s="7">
        <v>0.28399999999999997</v>
      </c>
      <c r="N45" s="7">
        <v>0.28916666666666663</v>
      </c>
      <c r="O45" s="7">
        <v>0.29883333333333328</v>
      </c>
      <c r="P45" s="7">
        <f t="shared" si="31"/>
        <v>6.1666666666666536E-3</v>
      </c>
      <c r="Q45" s="7">
        <f t="shared" si="32"/>
        <v>1.483333333333331E-2</v>
      </c>
      <c r="R45" s="7">
        <f t="shared" si="33"/>
        <v>1.0499999999999982E-2</v>
      </c>
      <c r="S45" s="7">
        <f t="shared" si="34"/>
        <v>4.1247318924269853E-2</v>
      </c>
      <c r="T45" s="7">
        <f t="shared" si="35"/>
        <v>14.118957267777571</v>
      </c>
      <c r="U45" s="7">
        <f t="shared" si="36"/>
        <v>5.9299620524665793</v>
      </c>
      <c r="V45" s="9">
        <f>U45*I45</f>
        <v>2.9649810262332896</v>
      </c>
      <c r="W45" s="7">
        <f t="shared" si="6"/>
        <v>2.7870821646592923</v>
      </c>
    </row>
    <row r="46" spans="1:25" x14ac:dyDescent="0.25">
      <c r="A46" s="7">
        <v>20230823</v>
      </c>
      <c r="B46" s="7" t="s">
        <v>26</v>
      </c>
      <c r="C46" s="7">
        <v>1</v>
      </c>
      <c r="D46" s="7" t="s">
        <v>29</v>
      </c>
      <c r="E46" s="7" t="s">
        <v>27</v>
      </c>
      <c r="F46" s="7" t="s">
        <v>21</v>
      </c>
      <c r="G46" s="8">
        <v>5</v>
      </c>
      <c r="H46" s="7">
        <v>10</v>
      </c>
      <c r="I46" s="7">
        <v>0.5</v>
      </c>
      <c r="J46" s="8">
        <v>0.25</v>
      </c>
      <c r="K46" s="8">
        <v>1.4999999999999999E-2</v>
      </c>
      <c r="L46" s="7">
        <v>0.28199999999999997</v>
      </c>
      <c r="M46" s="7">
        <v>0.28199999999999997</v>
      </c>
      <c r="N46" s="7">
        <v>0.28249999999999997</v>
      </c>
      <c r="O46" s="7">
        <v>0.28483333333333333</v>
      </c>
      <c r="P46" s="7">
        <f t="shared" si="31"/>
        <v>5.0000000000000044E-4</v>
      </c>
      <c r="Q46" s="7">
        <f t="shared" si="32"/>
        <v>2.8333333333333544E-3</v>
      </c>
      <c r="R46" s="7">
        <f t="shared" si="33"/>
        <v>1.6666666666666774E-3</v>
      </c>
      <c r="S46" s="7">
        <f t="shared" si="34"/>
        <v>6.5471934800428871E-3</v>
      </c>
      <c r="T46" s="7">
        <f t="shared" si="35"/>
        <v>2.2411043282186802</v>
      </c>
      <c r="U46" s="7">
        <f t="shared" si="36"/>
        <v>0.94126381785184565</v>
      </c>
      <c r="V46" s="9">
        <f t="shared" ref="V46:V58" si="37">U46*I46</f>
        <v>0.47063190892592283</v>
      </c>
      <c r="W46" s="7">
        <f t="shared" si="6"/>
        <v>0.44239399439036742</v>
      </c>
    </row>
    <row r="47" spans="1:25" x14ac:dyDescent="0.25">
      <c r="A47" s="7">
        <v>20230822</v>
      </c>
      <c r="B47" s="7" t="s">
        <v>26</v>
      </c>
      <c r="C47" s="7">
        <v>2</v>
      </c>
      <c r="D47" s="7" t="s">
        <v>29</v>
      </c>
      <c r="E47" s="7" t="s">
        <v>18</v>
      </c>
      <c r="F47" s="7" t="s">
        <v>21</v>
      </c>
      <c r="G47" s="8">
        <v>5</v>
      </c>
      <c r="H47" s="7">
        <v>10</v>
      </c>
      <c r="I47" s="7">
        <v>0.5</v>
      </c>
      <c r="J47" s="8">
        <v>0.25</v>
      </c>
      <c r="K47" s="8">
        <v>1.4999999999999999E-2</v>
      </c>
      <c r="L47" s="7">
        <v>0.28299999999999997</v>
      </c>
      <c r="M47" s="7">
        <v>0.28100000000000003</v>
      </c>
      <c r="N47" s="7">
        <v>0.30499999999999999</v>
      </c>
      <c r="O47" s="7">
        <v>0.30649999999999994</v>
      </c>
      <c r="P47" s="7">
        <f t="shared" si="31"/>
        <v>2.200000000000002E-2</v>
      </c>
      <c r="Q47" s="7">
        <f t="shared" si="32"/>
        <v>2.5499999999999912E-2</v>
      </c>
      <c r="R47" s="7">
        <f t="shared" si="33"/>
        <v>2.3749999999999966E-2</v>
      </c>
      <c r="S47" s="7">
        <f t="shared" si="34"/>
        <v>9.329750709061041E-2</v>
      </c>
      <c r="T47" s="7">
        <f t="shared" si="35"/>
        <v>31.935736677115944</v>
      </c>
      <c r="U47" s="7">
        <f t="shared" si="36"/>
        <v>13.413009404388696</v>
      </c>
      <c r="V47" s="9">
        <f t="shared" si="37"/>
        <v>6.7065047021943478</v>
      </c>
      <c r="W47" s="7">
        <f t="shared" si="6"/>
        <v>6.3041144200626862</v>
      </c>
    </row>
    <row r="48" spans="1:25" x14ac:dyDescent="0.25">
      <c r="A48" s="7">
        <v>20230822</v>
      </c>
      <c r="B48" s="7" t="s">
        <v>26</v>
      </c>
      <c r="C48" s="7">
        <v>2</v>
      </c>
      <c r="D48" s="7" t="s">
        <v>29</v>
      </c>
      <c r="E48" s="7" t="s">
        <v>19</v>
      </c>
      <c r="F48" s="7" t="s">
        <v>21</v>
      </c>
      <c r="G48" s="8">
        <v>5</v>
      </c>
      <c r="H48" s="7">
        <v>10</v>
      </c>
      <c r="I48" s="7">
        <v>0.5</v>
      </c>
      <c r="J48" s="8">
        <v>0.25</v>
      </c>
      <c r="K48" s="8">
        <v>1.4999999999999999E-2</v>
      </c>
      <c r="L48" s="7">
        <v>0.32400000000000001</v>
      </c>
      <c r="M48" s="7">
        <v>0.32</v>
      </c>
      <c r="N48" s="7">
        <v>0.35699999999999998</v>
      </c>
      <c r="O48" s="7">
        <v>0.35766666666666663</v>
      </c>
      <c r="P48" s="7">
        <f t="shared" si="31"/>
        <v>3.2999999999999974E-2</v>
      </c>
      <c r="Q48" s="7">
        <f t="shared" si="32"/>
        <v>3.7666666666666626E-2</v>
      </c>
      <c r="R48" s="7">
        <f t="shared" si="33"/>
        <v>3.53333333333333E-2</v>
      </c>
      <c r="S48" s="7">
        <f t="shared" si="34"/>
        <v>0.13880050177690817</v>
      </c>
      <c r="T48" s="7">
        <f t="shared" ref="T48" si="38">S48*342.3</f>
        <v>47.511411758235667</v>
      </c>
      <c r="U48" s="7">
        <f t="shared" ref="U48" si="39">T48*0.42</f>
        <v>19.954792938458979</v>
      </c>
      <c r="V48" s="9">
        <f t="shared" si="37"/>
        <v>9.9773964692294896</v>
      </c>
      <c r="W48" s="7">
        <f t="shared" si="6"/>
        <v>9.3787526810757189</v>
      </c>
    </row>
    <row r="49" spans="1:25" x14ac:dyDescent="0.25">
      <c r="A49" s="7">
        <v>20230822</v>
      </c>
      <c r="B49" s="7" t="s">
        <v>26</v>
      </c>
      <c r="C49" s="7">
        <v>2</v>
      </c>
      <c r="D49" s="7" t="s">
        <v>29</v>
      </c>
      <c r="E49" s="7" t="s">
        <v>27</v>
      </c>
      <c r="F49" s="7" t="s">
        <v>21</v>
      </c>
      <c r="G49" s="8">
        <v>5</v>
      </c>
      <c r="H49" s="7">
        <v>10</v>
      </c>
      <c r="I49" s="7">
        <v>0.5</v>
      </c>
      <c r="J49" s="8">
        <v>0.25</v>
      </c>
      <c r="K49" s="8">
        <v>1.4999999999999999E-2</v>
      </c>
      <c r="L49" s="7">
        <v>0.28699999999999998</v>
      </c>
      <c r="M49" s="7">
        <v>0.28000000000000003</v>
      </c>
      <c r="N49" s="7">
        <v>0.32633333333333336</v>
      </c>
      <c r="O49" s="7">
        <v>0.31950000000000001</v>
      </c>
      <c r="P49" s="7">
        <f t="shared" si="31"/>
        <v>3.9333333333333387E-2</v>
      </c>
      <c r="Q49" s="7">
        <f t="shared" si="32"/>
        <v>3.949999999999998E-2</v>
      </c>
      <c r="R49" s="7">
        <f t="shared" si="33"/>
        <v>3.9416666666666683E-2</v>
      </c>
      <c r="S49" s="7">
        <f t="shared" si="34"/>
        <v>0.15484112580301335</v>
      </c>
      <c r="T49" s="7">
        <f t="shared" si="35"/>
        <v>53.002117362371472</v>
      </c>
      <c r="U49" s="7">
        <f t="shared" si="36"/>
        <v>22.260889292196016</v>
      </c>
      <c r="V49" s="9">
        <f t="shared" si="37"/>
        <v>11.130444646098008</v>
      </c>
      <c r="W49" s="7">
        <f t="shared" si="6"/>
        <v>10.462617967332127</v>
      </c>
    </row>
    <row r="50" spans="1:25" x14ac:dyDescent="0.25">
      <c r="A50" s="7">
        <v>20230823</v>
      </c>
      <c r="B50" s="7" t="s">
        <v>26</v>
      </c>
      <c r="C50" s="7">
        <v>3</v>
      </c>
      <c r="D50" s="7" t="s">
        <v>29</v>
      </c>
      <c r="E50" s="7" t="s">
        <v>18</v>
      </c>
      <c r="F50" s="7" t="s">
        <v>21</v>
      </c>
      <c r="G50" s="8">
        <v>5</v>
      </c>
      <c r="H50" s="7">
        <v>10</v>
      </c>
      <c r="I50" s="7">
        <v>0.5</v>
      </c>
      <c r="J50" s="8">
        <v>0.25</v>
      </c>
      <c r="K50" s="8">
        <v>1.4999999999999999E-2</v>
      </c>
      <c r="L50" s="7">
        <v>0.30099999999999999</v>
      </c>
      <c r="M50" s="7">
        <v>0.29899999999999999</v>
      </c>
      <c r="N50" s="7">
        <v>0.30033333333333334</v>
      </c>
      <c r="O50" s="7">
        <v>0.30366666666666664</v>
      </c>
      <c r="P50" s="7">
        <f t="shared" si="31"/>
        <v>-6.6666666666664876E-4</v>
      </c>
      <c r="Q50" s="7">
        <f t="shared" si="32"/>
        <v>4.6666666666666523E-3</v>
      </c>
      <c r="R50" s="7">
        <f t="shared" si="33"/>
        <v>2.0000000000000018E-3</v>
      </c>
      <c r="S50" s="7">
        <f t="shared" si="34"/>
        <v>7.8566321760514205E-3</v>
      </c>
      <c r="T50" s="7">
        <f t="shared" ref="T50:T52" si="40">S50*342.3</f>
        <v>2.6893251938624014</v>
      </c>
      <c r="U50" s="7">
        <f t="shared" ref="U50:U52" si="41">T50*0.42</f>
        <v>1.1295165814222086</v>
      </c>
      <c r="V50" s="9">
        <f t="shared" si="37"/>
        <v>0.56475829071110428</v>
      </c>
      <c r="W50" s="7">
        <f t="shared" si="6"/>
        <v>0.53087279326843795</v>
      </c>
    </row>
    <row r="51" spans="1:25" x14ac:dyDescent="0.25">
      <c r="A51" s="7">
        <v>20230823</v>
      </c>
      <c r="B51" s="7" t="s">
        <v>26</v>
      </c>
      <c r="C51" s="7">
        <v>3</v>
      </c>
      <c r="D51" s="7" t="s">
        <v>29</v>
      </c>
      <c r="E51" s="7" t="s">
        <v>19</v>
      </c>
      <c r="F51" s="7" t="s">
        <v>21</v>
      </c>
      <c r="G51" s="8">
        <v>5</v>
      </c>
      <c r="H51" s="7">
        <v>10</v>
      </c>
      <c r="I51" s="7">
        <v>0.5</v>
      </c>
      <c r="J51" s="8">
        <v>0.25</v>
      </c>
      <c r="K51" s="8">
        <v>1.4999999999999999E-2</v>
      </c>
      <c r="L51" s="7">
        <v>0.30599999999999999</v>
      </c>
      <c r="M51" s="7">
        <v>0.307</v>
      </c>
      <c r="N51" s="7">
        <v>0.3061666666666667</v>
      </c>
      <c r="O51" s="7">
        <v>0.308</v>
      </c>
      <c r="P51" s="7">
        <f t="shared" si="31"/>
        <v>1.6666666666670382E-4</v>
      </c>
      <c r="Q51" s="7">
        <f t="shared" si="32"/>
        <v>1.0000000000000009E-3</v>
      </c>
      <c r="R51" s="7">
        <f t="shared" si="33"/>
        <v>5.8333333333335236E-4</v>
      </c>
      <c r="S51" s="7">
        <f t="shared" si="34"/>
        <v>2.2915177180150704E-3</v>
      </c>
      <c r="T51" s="7">
        <f t="shared" si="40"/>
        <v>0.78438651487655864</v>
      </c>
      <c r="U51" s="7">
        <f t="shared" si="41"/>
        <v>0.32944233624815461</v>
      </c>
      <c r="V51" s="9">
        <f t="shared" si="37"/>
        <v>0.16472116812407731</v>
      </c>
      <c r="W51" s="7">
        <f t="shared" si="6"/>
        <v>0.15483789803663267</v>
      </c>
    </row>
    <row r="52" spans="1:25" x14ac:dyDescent="0.25">
      <c r="A52" s="7">
        <v>20230823</v>
      </c>
      <c r="B52" s="7" t="s">
        <v>26</v>
      </c>
      <c r="C52" s="7">
        <v>3</v>
      </c>
      <c r="D52" s="7" t="s">
        <v>29</v>
      </c>
      <c r="E52" s="7" t="s">
        <v>27</v>
      </c>
      <c r="F52" s="7" t="s">
        <v>21</v>
      </c>
      <c r="G52" s="8">
        <v>5</v>
      </c>
      <c r="H52" s="7">
        <v>10</v>
      </c>
      <c r="I52" s="7">
        <v>0.5</v>
      </c>
      <c r="J52" s="8">
        <v>0.25</v>
      </c>
      <c r="K52" s="8">
        <v>1.4999999999999999E-2</v>
      </c>
      <c r="L52" s="7">
        <v>0.29499999999999998</v>
      </c>
      <c r="M52" s="7">
        <v>0.29099999999999998</v>
      </c>
      <c r="N52" s="7">
        <v>0.308</v>
      </c>
      <c r="O52" s="7">
        <v>0.30383333333333334</v>
      </c>
      <c r="P52" s="7">
        <f t="shared" si="31"/>
        <v>1.3000000000000012E-2</v>
      </c>
      <c r="Q52" s="7">
        <f t="shared" si="32"/>
        <v>1.2833333333333363E-2</v>
      </c>
      <c r="R52" s="7">
        <f t="shared" si="33"/>
        <v>1.2916666666666687E-2</v>
      </c>
      <c r="S52" s="7">
        <f t="shared" si="34"/>
        <v>5.0740749470332129E-2</v>
      </c>
      <c r="T52" s="7">
        <f t="shared" si="40"/>
        <v>17.368558543694689</v>
      </c>
      <c r="U52" s="7">
        <f t="shared" si="41"/>
        <v>7.2947945883517695</v>
      </c>
      <c r="V52" s="9">
        <f t="shared" si="37"/>
        <v>3.6473972941758848</v>
      </c>
      <c r="W52" s="7">
        <f t="shared" si="6"/>
        <v>3.4285534565253313</v>
      </c>
    </row>
    <row r="53" spans="1:25" x14ac:dyDescent="0.25">
      <c r="A53" s="7">
        <v>20230824</v>
      </c>
      <c r="B53" s="7" t="s">
        <v>26</v>
      </c>
      <c r="C53" s="7">
        <v>5</v>
      </c>
      <c r="D53" s="7" t="s">
        <v>29</v>
      </c>
      <c r="E53" s="7" t="s">
        <v>18</v>
      </c>
      <c r="F53" s="7" t="s">
        <v>21</v>
      </c>
      <c r="G53" s="8">
        <v>5</v>
      </c>
      <c r="H53" s="7">
        <v>10</v>
      </c>
      <c r="I53" s="7">
        <v>0.5</v>
      </c>
      <c r="J53" s="8">
        <v>0.25</v>
      </c>
      <c r="K53" s="8">
        <v>1.4999999999999999E-2</v>
      </c>
      <c r="L53" s="7">
        <v>0.28000000000000003</v>
      </c>
      <c r="M53" s="7">
        <v>0.28000000000000003</v>
      </c>
      <c r="N53" s="7">
        <v>0.28683333333333333</v>
      </c>
      <c r="O53" s="7">
        <v>0.28666666666666668</v>
      </c>
      <c r="P53" s="7">
        <f>N53-L53</f>
        <v>6.8333333333333024E-3</v>
      </c>
      <c r="Q53" s="7">
        <f t="shared" si="32"/>
        <v>6.6666666666666541E-3</v>
      </c>
      <c r="R53" s="7">
        <f t="shared" si="33"/>
        <v>6.7499999999999782E-3</v>
      </c>
      <c r="S53" s="7">
        <f t="shared" si="34"/>
        <v>2.6516133594173437E-2</v>
      </c>
      <c r="T53" s="7">
        <f t="shared" si="35"/>
        <v>9.0764725292855672</v>
      </c>
      <c r="U53" s="7">
        <f t="shared" si="36"/>
        <v>3.8121184622999382</v>
      </c>
      <c r="V53" s="9">
        <f t="shared" si="37"/>
        <v>1.9060592311499691</v>
      </c>
      <c r="W53" s="7">
        <f t="shared" si="6"/>
        <v>1.7916956772809709</v>
      </c>
    </row>
    <row r="54" spans="1:25" x14ac:dyDescent="0.25">
      <c r="A54" s="7">
        <v>20230824</v>
      </c>
      <c r="B54" s="7" t="s">
        <v>26</v>
      </c>
      <c r="C54" s="7">
        <v>5</v>
      </c>
      <c r="D54" s="7" t="s">
        <v>29</v>
      </c>
      <c r="E54" s="7" t="s">
        <v>19</v>
      </c>
      <c r="F54" s="7" t="s">
        <v>21</v>
      </c>
      <c r="G54" s="8">
        <v>5</v>
      </c>
      <c r="H54" s="7">
        <v>10</v>
      </c>
      <c r="I54" s="7">
        <v>0.5</v>
      </c>
      <c r="J54" s="8">
        <v>0.25</v>
      </c>
      <c r="K54" s="8">
        <v>1.4999999999999999E-2</v>
      </c>
      <c r="L54" s="7">
        <v>0.28199999999999997</v>
      </c>
      <c r="M54" s="7">
        <v>0.28199999999999997</v>
      </c>
      <c r="N54" s="7">
        <v>0.29099999999999998</v>
      </c>
      <c r="O54" s="7">
        <v>0.29399999999999998</v>
      </c>
      <c r="P54" s="7">
        <f t="shared" si="31"/>
        <v>9.000000000000008E-3</v>
      </c>
      <c r="Q54" s="7">
        <f>O54-M54</f>
        <v>1.2000000000000011E-2</v>
      </c>
      <c r="R54" s="7">
        <f t="shared" si="33"/>
        <v>1.0500000000000009E-2</v>
      </c>
      <c r="S54" s="7">
        <f t="shared" si="34"/>
        <v>4.1247318924269957E-2</v>
      </c>
      <c r="T54" s="7">
        <f t="shared" si="35"/>
        <v>14.118957267777606</v>
      </c>
      <c r="U54" s="7">
        <f t="shared" si="36"/>
        <v>5.9299620524665944</v>
      </c>
      <c r="V54" s="9">
        <f t="shared" si="37"/>
        <v>2.9649810262332972</v>
      </c>
      <c r="W54" s="7">
        <f t="shared" si="6"/>
        <v>2.7870821646592994</v>
      </c>
    </row>
    <row r="55" spans="1:25" x14ac:dyDescent="0.25">
      <c r="A55" s="7">
        <v>20230824</v>
      </c>
      <c r="B55" s="7" t="s">
        <v>26</v>
      </c>
      <c r="C55" s="7">
        <v>5</v>
      </c>
      <c r="D55" s="7" t="s">
        <v>29</v>
      </c>
      <c r="E55" s="7" t="s">
        <v>27</v>
      </c>
      <c r="F55" s="7" t="s">
        <v>21</v>
      </c>
      <c r="G55" s="8">
        <v>5</v>
      </c>
      <c r="H55" s="7">
        <v>10</v>
      </c>
      <c r="I55" s="7">
        <v>0.5</v>
      </c>
      <c r="J55" s="8">
        <v>0.25</v>
      </c>
      <c r="K55" s="8">
        <v>1.4999999999999999E-2</v>
      </c>
      <c r="L55" s="7">
        <v>0.28000000000000003</v>
      </c>
      <c r="M55" s="7">
        <v>0.28000000000000003</v>
      </c>
      <c r="N55" s="7">
        <v>0.28699999999999998</v>
      </c>
      <c r="O55" s="7">
        <v>0.29299999999999998</v>
      </c>
      <c r="P55" s="7">
        <f t="shared" si="31"/>
        <v>6.9999999999999507E-3</v>
      </c>
      <c r="Q55" s="7">
        <f t="shared" si="32"/>
        <v>1.2999999999999956E-2</v>
      </c>
      <c r="R55" s="7">
        <f t="shared" si="33"/>
        <v>9.9999999999999534E-3</v>
      </c>
      <c r="S55" s="7">
        <f t="shared" si="34"/>
        <v>3.9283160880256886E-2</v>
      </c>
      <c r="T55" s="7">
        <f t="shared" si="35"/>
        <v>13.446625969311933</v>
      </c>
      <c r="U55" s="7">
        <f t="shared" si="36"/>
        <v>5.647582907111012</v>
      </c>
      <c r="V55" s="9">
        <f t="shared" si="37"/>
        <v>2.823791453555506</v>
      </c>
      <c r="W55" s="7">
        <f t="shared" si="6"/>
        <v>2.6543639663421756</v>
      </c>
    </row>
    <row r="56" spans="1:25" x14ac:dyDescent="0.25">
      <c r="A56" s="7">
        <v>20230824</v>
      </c>
      <c r="B56" s="7" t="s">
        <v>26</v>
      </c>
      <c r="C56" s="7">
        <v>6</v>
      </c>
      <c r="D56" s="7" t="s">
        <v>29</v>
      </c>
      <c r="E56" s="7" t="s">
        <v>18</v>
      </c>
      <c r="F56" s="7" t="s">
        <v>21</v>
      </c>
      <c r="G56" s="8">
        <v>5</v>
      </c>
      <c r="H56" s="7">
        <v>10</v>
      </c>
      <c r="I56" s="7">
        <v>0.5</v>
      </c>
      <c r="J56" s="8">
        <v>0.25</v>
      </c>
      <c r="K56" s="8">
        <v>1.4999999999999999E-2</v>
      </c>
      <c r="L56" s="7">
        <v>0.30399999999999999</v>
      </c>
      <c r="M56" s="7">
        <v>0.29899999999999999</v>
      </c>
      <c r="N56" s="7">
        <v>0.3208333333333333</v>
      </c>
      <c r="O56" s="7">
        <v>0.32100000000000001</v>
      </c>
      <c r="P56" s="7">
        <f t="shared" si="31"/>
        <v>1.6833333333333311E-2</v>
      </c>
      <c r="Q56" s="7">
        <f t="shared" si="32"/>
        <v>2.200000000000002E-2</v>
      </c>
      <c r="R56" s="7">
        <f t="shared" si="33"/>
        <v>1.9416666666666665E-2</v>
      </c>
      <c r="S56" s="7">
        <f t="shared" si="34"/>
        <v>7.6274804042499131E-2</v>
      </c>
      <c r="T56" s="7">
        <f t="shared" ref="T56:T57" si="42">S56*342.3</f>
        <v>26.108865423747453</v>
      </c>
      <c r="U56" s="7">
        <f t="shared" ref="U56:U57" si="43">T56*0.42</f>
        <v>10.965723477973929</v>
      </c>
      <c r="V56" s="9">
        <f t="shared" si="37"/>
        <v>5.4828617389869647</v>
      </c>
      <c r="W56" s="7">
        <f t="shared" si="6"/>
        <v>5.1538900346477465</v>
      </c>
    </row>
    <row r="57" spans="1:25" x14ac:dyDescent="0.25">
      <c r="A57" s="7">
        <v>20230824</v>
      </c>
      <c r="B57" s="7" t="s">
        <v>26</v>
      </c>
      <c r="C57" s="7">
        <v>6</v>
      </c>
      <c r="D57" s="7" t="s">
        <v>29</v>
      </c>
      <c r="E57" s="7" t="s">
        <v>19</v>
      </c>
      <c r="F57" s="7" t="s">
        <v>21</v>
      </c>
      <c r="G57" s="8">
        <v>5</v>
      </c>
      <c r="H57" s="7">
        <v>10</v>
      </c>
      <c r="I57" s="7">
        <v>0.5</v>
      </c>
      <c r="J57" s="8">
        <v>0.25</v>
      </c>
      <c r="K57" s="8">
        <v>1.4999999999999999E-2</v>
      </c>
      <c r="L57" s="7">
        <v>0.309</v>
      </c>
      <c r="M57" s="7">
        <v>0.30299999999999999</v>
      </c>
      <c r="N57" s="7">
        <v>0.33733333333333332</v>
      </c>
      <c r="O57" s="7">
        <v>0.33566666666666672</v>
      </c>
      <c r="P57" s="7">
        <f t="shared" si="31"/>
        <v>2.8333333333333321E-2</v>
      </c>
      <c r="Q57" s="7">
        <f t="shared" si="32"/>
        <v>3.2666666666666733E-2</v>
      </c>
      <c r="R57" s="7">
        <f t="shared" si="33"/>
        <v>3.0500000000000027E-2</v>
      </c>
      <c r="S57" s="7">
        <f t="shared" si="34"/>
        <v>0.11981364068478417</v>
      </c>
      <c r="T57" s="7">
        <f t="shared" si="42"/>
        <v>41.012209206401621</v>
      </c>
      <c r="U57" s="7">
        <f t="shared" si="43"/>
        <v>17.22512786668868</v>
      </c>
      <c r="V57" s="9">
        <f t="shared" si="37"/>
        <v>8.6125639333443402</v>
      </c>
      <c r="W57" s="7">
        <f t="shared" si="6"/>
        <v>8.09581009734368</v>
      </c>
    </row>
    <row r="58" spans="1:25" x14ac:dyDescent="0.25">
      <c r="A58" s="7">
        <v>20230824</v>
      </c>
      <c r="B58" s="7" t="s">
        <v>26</v>
      </c>
      <c r="C58" s="7">
        <v>6</v>
      </c>
      <c r="D58" s="7" t="s">
        <v>29</v>
      </c>
      <c r="E58" s="7" t="s">
        <v>27</v>
      </c>
      <c r="F58" s="7" t="s">
        <v>21</v>
      </c>
      <c r="G58" s="8">
        <v>5</v>
      </c>
      <c r="H58" s="7">
        <v>10</v>
      </c>
      <c r="I58" s="7">
        <v>0.5</v>
      </c>
      <c r="J58" s="8">
        <v>0.25</v>
      </c>
      <c r="K58" s="8">
        <v>1.4999999999999999E-2</v>
      </c>
      <c r="L58" s="7">
        <v>0.28999999999999998</v>
      </c>
      <c r="M58" s="7">
        <v>0.28499999999999998</v>
      </c>
      <c r="N58" s="7">
        <v>0.30116666666666664</v>
      </c>
      <c r="O58" s="7">
        <v>0.30299999999999999</v>
      </c>
      <c r="P58" s="7">
        <f t="shared" si="31"/>
        <v>1.1166666666666658E-2</v>
      </c>
      <c r="Q58" s="7">
        <f t="shared" si="32"/>
        <v>1.8000000000000016E-2</v>
      </c>
      <c r="R58" s="7">
        <f t="shared" si="33"/>
        <v>1.4583333333333337E-2</v>
      </c>
      <c r="S58" s="7">
        <f t="shared" si="34"/>
        <v>5.7287942950374912E-2</v>
      </c>
      <c r="T58" s="7">
        <f t="shared" ref="T58:T64" si="44">S58*342.3</f>
        <v>19.609662871913333</v>
      </c>
      <c r="U58" s="7">
        <f t="shared" ref="U58:U64" si="45">T58*0.42</f>
        <v>8.2360584062035986</v>
      </c>
      <c r="V58" s="9">
        <f t="shared" si="37"/>
        <v>4.1180292031017993</v>
      </c>
      <c r="W58" s="7">
        <f t="shared" si="6"/>
        <v>3.8709474509156911</v>
      </c>
    </row>
    <row r="59" spans="1:25" s="17" customFormat="1" x14ac:dyDescent="0.25">
      <c r="A59" s="17">
        <v>20230823</v>
      </c>
      <c r="B59" s="17" t="s">
        <v>26</v>
      </c>
      <c r="C59" s="17">
        <v>1</v>
      </c>
      <c r="D59" s="17" t="s">
        <v>30</v>
      </c>
      <c r="E59" s="17" t="s">
        <v>18</v>
      </c>
      <c r="F59" s="17" t="s">
        <v>21</v>
      </c>
      <c r="G59" s="17">
        <v>10</v>
      </c>
      <c r="J59" s="18">
        <v>0.25</v>
      </c>
      <c r="K59" s="18">
        <v>0.11</v>
      </c>
      <c r="L59" s="17">
        <v>0.72499999999999998</v>
      </c>
      <c r="M59" s="17">
        <v>0.76500000000000001</v>
      </c>
      <c r="N59" s="17">
        <v>3.4682000000000004</v>
      </c>
      <c r="O59" s="17">
        <v>3.5421999999999998</v>
      </c>
      <c r="P59" s="17">
        <f t="shared" ref="P59:P71" si="46">N59-L59</f>
        <v>2.7432000000000003</v>
      </c>
      <c r="Q59" s="17">
        <f t="shared" ref="Q59:Q71" si="47">O59-M59</f>
        <v>2.7771999999999997</v>
      </c>
      <c r="R59" s="17">
        <f t="shared" ref="R59:R71" si="48">AVERAGE(P59:Q59)</f>
        <v>2.7602000000000002</v>
      </c>
      <c r="S59" s="17">
        <f t="shared" ref="S59:S71" si="49">R59/4.2427*J59/K59</f>
        <v>1.4785824635684395</v>
      </c>
      <c r="T59" s="17">
        <f t="shared" si="44"/>
        <v>506.11877727947683</v>
      </c>
      <c r="U59" s="17">
        <f t="shared" si="45"/>
        <v>212.56988645738025</v>
      </c>
      <c r="V59" s="19">
        <f>U59*G59</f>
        <v>2125.6988645738024</v>
      </c>
      <c r="W59" s="17">
        <f>U59*9.78</f>
        <v>2078.9334895531788</v>
      </c>
      <c r="Y59" s="20">
        <f>(U59*2)/1000</f>
        <v>0.42513977291476052</v>
      </c>
    </row>
    <row r="60" spans="1:25" s="17" customFormat="1" x14ac:dyDescent="0.25">
      <c r="A60" s="17">
        <v>20230823</v>
      </c>
      <c r="B60" s="17" t="s">
        <v>26</v>
      </c>
      <c r="C60" s="17">
        <v>1</v>
      </c>
      <c r="D60" s="17" t="s">
        <v>30</v>
      </c>
      <c r="E60" s="17" t="s">
        <v>19</v>
      </c>
      <c r="F60" s="17" t="s">
        <v>21</v>
      </c>
      <c r="G60" s="17">
        <v>10</v>
      </c>
      <c r="J60" s="18">
        <v>0.25</v>
      </c>
      <c r="K60" s="18">
        <v>0.11</v>
      </c>
      <c r="L60" s="17">
        <v>0.63300000000000001</v>
      </c>
      <c r="M60" s="17">
        <v>0.64700000000000002</v>
      </c>
      <c r="N60" s="17">
        <v>3.5609999999999999</v>
      </c>
      <c r="O60" s="17">
        <v>3.5826000000000002</v>
      </c>
      <c r="P60" s="17">
        <f t="shared" si="46"/>
        <v>2.9279999999999999</v>
      </c>
      <c r="Q60" s="17">
        <f t="shared" si="47"/>
        <v>2.9356</v>
      </c>
      <c r="R60" s="17">
        <f t="shared" si="48"/>
        <v>2.9318</v>
      </c>
      <c r="S60" s="17">
        <f t="shared" si="49"/>
        <v>1.5705050600282411</v>
      </c>
      <c r="T60" s="17">
        <f t="shared" si="44"/>
        <v>537.58388204766698</v>
      </c>
      <c r="U60" s="17">
        <f t="shared" si="45"/>
        <v>225.78523046002013</v>
      </c>
      <c r="V60" s="19">
        <f t="shared" ref="V60:V71" si="50">U60*G60</f>
        <v>2257.8523046002015</v>
      </c>
      <c r="W60" s="17">
        <f t="shared" ref="W60:W78" si="51">U60*9.78</f>
        <v>2208.1795538989968</v>
      </c>
      <c r="Y60" s="20">
        <f t="shared" ref="Y60:Y78" si="52">(U60*2)/1000</f>
        <v>0.45157046092004027</v>
      </c>
    </row>
    <row r="61" spans="1:25" s="17" customFormat="1" x14ac:dyDescent="0.25">
      <c r="A61" s="17">
        <v>20230823</v>
      </c>
      <c r="B61" s="17" t="s">
        <v>26</v>
      </c>
      <c r="C61" s="17">
        <v>1</v>
      </c>
      <c r="D61" s="17" t="s">
        <v>30</v>
      </c>
      <c r="E61" s="17" t="s">
        <v>27</v>
      </c>
      <c r="F61" s="17" t="s">
        <v>21</v>
      </c>
      <c r="G61" s="17">
        <v>10</v>
      </c>
      <c r="J61" s="18">
        <v>0.25</v>
      </c>
      <c r="K61" s="18">
        <v>0.11</v>
      </c>
      <c r="L61" s="17">
        <v>0.91500000000000004</v>
      </c>
      <c r="M61" s="17">
        <v>0.873</v>
      </c>
      <c r="N61" s="17">
        <v>3.5182000000000002</v>
      </c>
      <c r="O61" s="17">
        <v>3.4463999999999997</v>
      </c>
      <c r="P61" s="17">
        <f t="shared" si="46"/>
        <v>2.6032000000000002</v>
      </c>
      <c r="Q61" s="17">
        <f t="shared" si="47"/>
        <v>2.5733999999999995</v>
      </c>
      <c r="R61" s="17">
        <f t="shared" si="48"/>
        <v>2.5882999999999998</v>
      </c>
      <c r="S61" s="17">
        <f t="shared" si="49"/>
        <v>1.3864991632686732</v>
      </c>
      <c r="T61" s="17">
        <f t="shared" si="44"/>
        <v>474.59866358686685</v>
      </c>
      <c r="U61" s="17">
        <f t="shared" si="45"/>
        <v>199.33143870648408</v>
      </c>
      <c r="V61" s="19">
        <f t="shared" si="50"/>
        <v>1993.3143870648407</v>
      </c>
      <c r="W61" s="17">
        <f t="shared" si="51"/>
        <v>1949.4614705494141</v>
      </c>
      <c r="Y61" s="20">
        <f t="shared" si="52"/>
        <v>0.39866287741296813</v>
      </c>
    </row>
    <row r="62" spans="1:25" s="17" customFormat="1" x14ac:dyDescent="0.25">
      <c r="A62" s="17">
        <v>20230822</v>
      </c>
      <c r="B62" s="17" t="s">
        <v>26</v>
      </c>
      <c r="C62" s="17">
        <v>2</v>
      </c>
      <c r="D62" s="17" t="s">
        <v>30</v>
      </c>
      <c r="E62" s="17" t="s">
        <v>18</v>
      </c>
      <c r="F62" s="17" t="s">
        <v>21</v>
      </c>
      <c r="G62" s="17">
        <v>10</v>
      </c>
      <c r="J62" s="18">
        <v>0.25</v>
      </c>
      <c r="K62" s="18">
        <v>0.11</v>
      </c>
      <c r="L62" s="17">
        <v>1.1259999999999999</v>
      </c>
      <c r="M62" s="17">
        <v>1.117</v>
      </c>
      <c r="N62" s="17">
        <v>3.7574000000000005</v>
      </c>
      <c r="O62" s="17">
        <v>3.7505999999999999</v>
      </c>
      <c r="P62" s="17">
        <f t="shared" si="46"/>
        <v>2.6314000000000006</v>
      </c>
      <c r="Q62" s="17">
        <f t="shared" si="47"/>
        <v>2.6335999999999999</v>
      </c>
      <c r="R62" s="17">
        <f t="shared" si="48"/>
        <v>2.6325000000000003</v>
      </c>
      <c r="S62" s="17">
        <f t="shared" si="49"/>
        <v>1.4101761956901375</v>
      </c>
      <c r="T62" s="17">
        <f t="shared" si="44"/>
        <v>482.70331178473407</v>
      </c>
      <c r="U62" s="17">
        <f t="shared" si="45"/>
        <v>202.73539094958829</v>
      </c>
      <c r="V62" s="19">
        <f t="shared" si="50"/>
        <v>2027.3539094958828</v>
      </c>
      <c r="W62" s="17">
        <f t="shared" si="51"/>
        <v>1982.7521234869735</v>
      </c>
      <c r="Y62" s="20">
        <f t="shared" si="52"/>
        <v>0.40547078189917657</v>
      </c>
    </row>
    <row r="63" spans="1:25" s="17" customFormat="1" x14ac:dyDescent="0.25">
      <c r="A63" s="17">
        <v>20230822</v>
      </c>
      <c r="B63" s="17" t="s">
        <v>26</v>
      </c>
      <c r="C63" s="17">
        <v>2</v>
      </c>
      <c r="D63" s="17" t="s">
        <v>30</v>
      </c>
      <c r="E63" s="17" t="s">
        <v>19</v>
      </c>
      <c r="F63" s="17" t="s">
        <v>21</v>
      </c>
      <c r="G63" s="17">
        <v>10</v>
      </c>
      <c r="J63" s="18">
        <v>0.25</v>
      </c>
      <c r="K63" s="18">
        <v>0.11</v>
      </c>
      <c r="L63" s="17">
        <v>0.64800000000000002</v>
      </c>
      <c r="M63" s="17">
        <v>0.65700000000000003</v>
      </c>
      <c r="N63" s="17">
        <v>3.3517999999999999</v>
      </c>
      <c r="O63" s="17">
        <v>3.3942000000000001</v>
      </c>
      <c r="P63" s="17">
        <f t="shared" si="46"/>
        <v>2.7037999999999998</v>
      </c>
      <c r="Q63" s="17">
        <f t="shared" si="47"/>
        <v>2.7372000000000001</v>
      </c>
      <c r="R63" s="17">
        <f t="shared" si="48"/>
        <v>2.7204999999999999</v>
      </c>
      <c r="S63" s="17">
        <f t="shared" si="49"/>
        <v>1.4573159887464457</v>
      </c>
      <c r="T63" s="17">
        <f t="shared" si="44"/>
        <v>498.83926294790842</v>
      </c>
      <c r="U63" s="17">
        <f t="shared" si="45"/>
        <v>209.51249043812152</v>
      </c>
      <c r="V63" s="19">
        <f t="shared" si="50"/>
        <v>2095.1249043812149</v>
      </c>
      <c r="W63" s="17">
        <f t="shared" si="51"/>
        <v>2049.0321564848282</v>
      </c>
      <c r="Y63" s="20">
        <f t="shared" si="52"/>
        <v>0.41902498087624301</v>
      </c>
    </row>
    <row r="64" spans="1:25" s="17" customFormat="1" x14ac:dyDescent="0.25">
      <c r="A64" s="17">
        <v>20230822</v>
      </c>
      <c r="B64" s="17" t="s">
        <v>26</v>
      </c>
      <c r="C64" s="17">
        <v>2</v>
      </c>
      <c r="D64" s="17" t="s">
        <v>30</v>
      </c>
      <c r="E64" s="17" t="s">
        <v>27</v>
      </c>
      <c r="F64" s="17" t="s">
        <v>21</v>
      </c>
      <c r="G64" s="17">
        <v>10</v>
      </c>
      <c r="J64" s="18">
        <v>0.25</v>
      </c>
      <c r="K64" s="18">
        <v>0.11</v>
      </c>
      <c r="L64" s="17">
        <v>0.73199999999999998</v>
      </c>
      <c r="M64" s="17">
        <v>0.72399999999999998</v>
      </c>
      <c r="N64" s="17">
        <v>3.6319999999999992</v>
      </c>
      <c r="O64" s="17">
        <v>3.6215999999999999</v>
      </c>
      <c r="P64" s="17">
        <f t="shared" si="46"/>
        <v>2.8999999999999995</v>
      </c>
      <c r="Q64" s="17">
        <f t="shared" si="47"/>
        <v>2.8975999999999997</v>
      </c>
      <c r="R64" s="17">
        <f t="shared" si="48"/>
        <v>2.8987999999999996</v>
      </c>
      <c r="S64" s="17">
        <f t="shared" si="49"/>
        <v>1.5528276376321253</v>
      </c>
      <c r="T64" s="17">
        <f t="shared" si="44"/>
        <v>531.53290036147655</v>
      </c>
      <c r="U64" s="17">
        <f t="shared" si="45"/>
        <v>223.24381815182014</v>
      </c>
      <c r="V64" s="19">
        <f t="shared" si="50"/>
        <v>2232.4381815182014</v>
      </c>
      <c r="W64" s="17">
        <f t="shared" si="51"/>
        <v>2183.3245415248007</v>
      </c>
      <c r="Y64" s="20">
        <f t="shared" si="52"/>
        <v>0.44648763630364025</v>
      </c>
    </row>
    <row r="65" spans="1:25" s="17" customFormat="1" x14ac:dyDescent="0.25">
      <c r="A65" s="17">
        <v>20230823</v>
      </c>
      <c r="B65" s="17" t="s">
        <v>26</v>
      </c>
      <c r="C65" s="17">
        <v>3</v>
      </c>
      <c r="D65" s="17" t="s">
        <v>30</v>
      </c>
      <c r="E65" s="17" t="s">
        <v>18</v>
      </c>
      <c r="F65" s="17" t="s">
        <v>21</v>
      </c>
      <c r="G65" s="17">
        <v>10</v>
      </c>
      <c r="J65" s="18">
        <v>0.25</v>
      </c>
      <c r="K65" s="18">
        <v>0.11</v>
      </c>
      <c r="L65" s="17">
        <v>0.47799999999999998</v>
      </c>
      <c r="M65" s="17">
        <v>0.48799999999999999</v>
      </c>
      <c r="N65" s="17">
        <v>2.2711999999999994</v>
      </c>
      <c r="O65" s="17">
        <v>2.3208000000000002</v>
      </c>
      <c r="P65" s="17">
        <f t="shared" si="46"/>
        <v>1.7931999999999995</v>
      </c>
      <c r="Q65" s="17">
        <f t="shared" si="47"/>
        <v>1.8328000000000002</v>
      </c>
      <c r="R65" s="17">
        <f t="shared" si="48"/>
        <v>1.8129999999999997</v>
      </c>
      <c r="S65" s="17">
        <f t="shared" si="49"/>
        <v>0.97118687285326433</v>
      </c>
      <c r="T65" s="17">
        <f t="shared" ref="T65:T71" si="53">S65*342.3</f>
        <v>332.4372665776724</v>
      </c>
      <c r="U65" s="17">
        <f t="shared" ref="U65:U71" si="54">T65*0.42</f>
        <v>139.6236519626224</v>
      </c>
      <c r="V65" s="19">
        <f t="shared" si="50"/>
        <v>1396.236519626224</v>
      </c>
      <c r="W65" s="17">
        <f t="shared" si="51"/>
        <v>1365.5193161944471</v>
      </c>
      <c r="Y65" s="20">
        <f t="shared" si="52"/>
        <v>0.27924730392524483</v>
      </c>
    </row>
    <row r="66" spans="1:25" s="17" customFormat="1" x14ac:dyDescent="0.25">
      <c r="A66" s="17">
        <v>20230823</v>
      </c>
      <c r="B66" s="17" t="s">
        <v>26</v>
      </c>
      <c r="C66" s="17">
        <v>3</v>
      </c>
      <c r="D66" s="17" t="s">
        <v>30</v>
      </c>
      <c r="E66" s="17" t="s">
        <v>19</v>
      </c>
      <c r="F66" s="17" t="s">
        <v>21</v>
      </c>
      <c r="G66" s="17">
        <v>10</v>
      </c>
      <c r="J66" s="18">
        <v>0.25</v>
      </c>
      <c r="K66" s="18">
        <v>0.11</v>
      </c>
      <c r="L66" s="17">
        <v>0.57899999999999996</v>
      </c>
      <c r="M66" s="17">
        <v>0.58499999999999996</v>
      </c>
      <c r="N66" s="17">
        <v>3.2509999999999999</v>
      </c>
      <c r="O66" s="17">
        <v>3.2961999999999998</v>
      </c>
      <c r="P66" s="17">
        <f t="shared" si="46"/>
        <v>2.6719999999999997</v>
      </c>
      <c r="Q66" s="17">
        <f t="shared" si="47"/>
        <v>2.7111999999999998</v>
      </c>
      <c r="R66" s="17">
        <f t="shared" si="48"/>
        <v>2.6915999999999998</v>
      </c>
      <c r="S66" s="17">
        <f t="shared" si="49"/>
        <v>1.4418348521631805</v>
      </c>
      <c r="T66" s="17">
        <f t="shared" si="53"/>
        <v>493.54006989545672</v>
      </c>
      <c r="U66" s="17">
        <f t="shared" si="54"/>
        <v>207.28682935609183</v>
      </c>
      <c r="V66" s="19">
        <f t="shared" si="50"/>
        <v>2072.8682935609181</v>
      </c>
      <c r="W66" s="17">
        <f t="shared" si="51"/>
        <v>2027.265191102578</v>
      </c>
      <c r="Y66" s="20">
        <f t="shared" si="52"/>
        <v>0.41457365871218366</v>
      </c>
    </row>
    <row r="67" spans="1:25" s="17" customFormat="1" x14ac:dyDescent="0.25">
      <c r="A67" s="17">
        <v>20230823</v>
      </c>
      <c r="B67" s="17" t="s">
        <v>26</v>
      </c>
      <c r="C67" s="17">
        <v>3</v>
      </c>
      <c r="D67" s="17" t="s">
        <v>30</v>
      </c>
      <c r="E67" s="17" t="s">
        <v>27</v>
      </c>
      <c r="F67" s="17" t="s">
        <v>21</v>
      </c>
      <c r="G67" s="17">
        <v>10</v>
      </c>
      <c r="J67" s="18">
        <v>0.25</v>
      </c>
      <c r="K67" s="18">
        <v>0.11</v>
      </c>
      <c r="L67" s="17">
        <v>0.46300000000000002</v>
      </c>
      <c r="M67" s="17">
        <v>0.48899999999999999</v>
      </c>
      <c r="N67" s="17">
        <v>2.3828</v>
      </c>
      <c r="O67" s="17">
        <v>2.4896000000000003</v>
      </c>
      <c r="P67" s="17">
        <f t="shared" si="46"/>
        <v>1.9198</v>
      </c>
      <c r="Q67" s="17">
        <f t="shared" si="47"/>
        <v>2.0006000000000004</v>
      </c>
      <c r="R67" s="17">
        <f t="shared" si="48"/>
        <v>1.9602000000000002</v>
      </c>
      <c r="S67" s="17">
        <f t="shared" si="49"/>
        <v>1.0500388903292714</v>
      </c>
      <c r="T67" s="17">
        <f t="shared" si="53"/>
        <v>359.42831215970961</v>
      </c>
      <c r="U67" s="17">
        <f t="shared" si="54"/>
        <v>150.95989110707802</v>
      </c>
      <c r="V67" s="19">
        <f t="shared" si="50"/>
        <v>1509.5989110707801</v>
      </c>
      <c r="W67" s="17">
        <f t="shared" si="51"/>
        <v>1476.387735027223</v>
      </c>
      <c r="Y67" s="20">
        <f t="shared" si="52"/>
        <v>0.30191978221415605</v>
      </c>
    </row>
    <row r="68" spans="1:25" s="17" customFormat="1" x14ac:dyDescent="0.25">
      <c r="A68" s="17">
        <v>20230824</v>
      </c>
      <c r="B68" s="17" t="s">
        <v>26</v>
      </c>
      <c r="C68" s="17">
        <v>5</v>
      </c>
      <c r="D68" s="17" t="s">
        <v>30</v>
      </c>
      <c r="E68" s="17" t="s">
        <v>18</v>
      </c>
      <c r="F68" s="17" t="s">
        <v>21</v>
      </c>
      <c r="G68" s="17">
        <v>10</v>
      </c>
      <c r="J68" s="18">
        <v>0.25</v>
      </c>
      <c r="K68" s="18">
        <v>0.11</v>
      </c>
      <c r="L68" s="17">
        <v>0.77800000000000002</v>
      </c>
      <c r="M68" s="17">
        <v>0.79200000000000004</v>
      </c>
      <c r="N68" s="17">
        <v>3.5302000000000007</v>
      </c>
      <c r="O68" s="17">
        <v>3.5425999999999993</v>
      </c>
      <c r="P68" s="17">
        <f t="shared" si="46"/>
        <v>2.7522000000000006</v>
      </c>
      <c r="Q68" s="17">
        <f t="shared" si="47"/>
        <v>2.7505999999999995</v>
      </c>
      <c r="R68" s="17">
        <f t="shared" si="48"/>
        <v>2.7514000000000003</v>
      </c>
      <c r="S68" s="17">
        <f t="shared" si="49"/>
        <v>1.4738684842628087</v>
      </c>
      <c r="T68" s="17">
        <f t="shared" si="53"/>
        <v>504.50518216315942</v>
      </c>
      <c r="U68" s="17">
        <f t="shared" si="54"/>
        <v>211.89217650852694</v>
      </c>
      <c r="V68" s="19">
        <f t="shared" si="50"/>
        <v>2118.9217650852693</v>
      </c>
      <c r="W68" s="17">
        <f t="shared" si="51"/>
        <v>2072.3054862533932</v>
      </c>
      <c r="Y68" s="20">
        <f t="shared" si="52"/>
        <v>0.42378435301705386</v>
      </c>
    </row>
    <row r="69" spans="1:25" s="17" customFormat="1" x14ac:dyDescent="0.25">
      <c r="A69" s="17">
        <v>20230824</v>
      </c>
      <c r="B69" s="17" t="s">
        <v>26</v>
      </c>
      <c r="C69" s="17">
        <v>5</v>
      </c>
      <c r="D69" s="17" t="s">
        <v>30</v>
      </c>
      <c r="E69" s="17" t="s">
        <v>19</v>
      </c>
      <c r="F69" s="17" t="s">
        <v>21</v>
      </c>
      <c r="G69" s="17">
        <v>10</v>
      </c>
      <c r="J69" s="18">
        <v>0.25</v>
      </c>
      <c r="K69" s="18">
        <v>0.11</v>
      </c>
      <c r="L69" s="17">
        <v>0.58299999999999996</v>
      </c>
      <c r="M69" s="17">
        <v>0.60099999999999998</v>
      </c>
      <c r="N69" s="17">
        <v>2.9142000000000001</v>
      </c>
      <c r="O69" s="17">
        <v>3.0411999999999999</v>
      </c>
      <c r="P69" s="17">
        <f t="shared" si="46"/>
        <v>2.3311999999999999</v>
      </c>
      <c r="Q69" s="17">
        <f t="shared" si="47"/>
        <v>2.4401999999999999</v>
      </c>
      <c r="R69" s="17">
        <f t="shared" si="48"/>
        <v>2.3856999999999999</v>
      </c>
      <c r="S69" s="17">
        <f t="shared" si="49"/>
        <v>1.2779705033458539</v>
      </c>
      <c r="T69" s="17">
        <f t="shared" si="53"/>
        <v>437.4493032952858</v>
      </c>
      <c r="U69" s="17">
        <f t="shared" si="54"/>
        <v>183.72870738402003</v>
      </c>
      <c r="V69" s="19">
        <f t="shared" si="50"/>
        <v>1837.2870738402003</v>
      </c>
      <c r="W69" s="17">
        <f t="shared" si="51"/>
        <v>1796.8667582157157</v>
      </c>
      <c r="Y69" s="20">
        <f t="shared" si="52"/>
        <v>0.36745741476804006</v>
      </c>
    </row>
    <row r="70" spans="1:25" s="17" customFormat="1" x14ac:dyDescent="0.25">
      <c r="A70" s="17">
        <v>20230824</v>
      </c>
      <c r="B70" s="17" t="s">
        <v>26</v>
      </c>
      <c r="C70" s="17">
        <v>5</v>
      </c>
      <c r="D70" s="17" t="s">
        <v>30</v>
      </c>
      <c r="E70" s="17" t="s">
        <v>27</v>
      </c>
      <c r="F70" s="17" t="s">
        <v>21</v>
      </c>
      <c r="G70" s="17">
        <v>10</v>
      </c>
      <c r="J70" s="18">
        <v>0.25</v>
      </c>
      <c r="K70" s="18">
        <v>0.11</v>
      </c>
      <c r="L70" s="17">
        <v>1.077</v>
      </c>
      <c r="M70" s="17">
        <v>1.05</v>
      </c>
      <c r="N70" s="17">
        <v>3.6612</v>
      </c>
      <c r="O70" s="17">
        <v>3.6426000000000003</v>
      </c>
      <c r="P70" s="17">
        <f t="shared" si="46"/>
        <v>2.5842000000000001</v>
      </c>
      <c r="Q70" s="17">
        <f t="shared" si="47"/>
        <v>2.5926</v>
      </c>
      <c r="R70" s="17">
        <f t="shared" si="48"/>
        <v>2.5884</v>
      </c>
      <c r="S70" s="17">
        <f t="shared" si="49"/>
        <v>1.3865527312153281</v>
      </c>
      <c r="T70" s="17">
        <f t="shared" si="53"/>
        <v>474.61699989500681</v>
      </c>
      <c r="U70" s="17">
        <f t="shared" si="54"/>
        <v>199.33913995590285</v>
      </c>
      <c r="V70" s="19">
        <f t="shared" si="50"/>
        <v>1993.3913995590285</v>
      </c>
      <c r="W70" s="17">
        <f t="shared" si="51"/>
        <v>1949.5367887687298</v>
      </c>
      <c r="Y70" s="20">
        <f t="shared" si="52"/>
        <v>0.39867827991180571</v>
      </c>
    </row>
    <row r="71" spans="1:25" s="17" customFormat="1" x14ac:dyDescent="0.25">
      <c r="A71" s="17">
        <v>20230824</v>
      </c>
      <c r="B71" s="17" t="s">
        <v>26</v>
      </c>
      <c r="C71" s="17">
        <v>6</v>
      </c>
      <c r="D71" s="17" t="s">
        <v>30</v>
      </c>
      <c r="E71" s="17" t="s">
        <v>18</v>
      </c>
      <c r="F71" s="17" t="s">
        <v>21</v>
      </c>
      <c r="G71" s="17">
        <v>10</v>
      </c>
      <c r="J71" s="18">
        <v>0.25</v>
      </c>
      <c r="K71" s="18">
        <v>0.11</v>
      </c>
      <c r="L71" s="17">
        <v>0.56000000000000005</v>
      </c>
      <c r="M71" s="17">
        <v>0.55900000000000005</v>
      </c>
      <c r="N71" s="17">
        <v>3.2834000000000003</v>
      </c>
      <c r="O71" s="17">
        <v>3.3039999999999998</v>
      </c>
      <c r="P71" s="17">
        <f t="shared" si="46"/>
        <v>2.7234000000000003</v>
      </c>
      <c r="Q71" s="17">
        <f t="shared" si="47"/>
        <v>2.7449999999999997</v>
      </c>
      <c r="R71" s="17">
        <f t="shared" si="48"/>
        <v>2.7342</v>
      </c>
      <c r="S71" s="17">
        <f t="shared" si="49"/>
        <v>1.4646547974381663</v>
      </c>
      <c r="T71" s="17">
        <f t="shared" si="53"/>
        <v>501.35133716308434</v>
      </c>
      <c r="U71" s="17">
        <f t="shared" si="54"/>
        <v>210.56756160849542</v>
      </c>
      <c r="V71" s="19">
        <f t="shared" si="50"/>
        <v>2105.6756160849541</v>
      </c>
      <c r="W71" s="17">
        <f t="shared" si="51"/>
        <v>2059.3507525310852</v>
      </c>
      <c r="Y71" s="20">
        <f t="shared" si="52"/>
        <v>0.42113512321699087</v>
      </c>
    </row>
    <row r="72" spans="1:25" s="17" customFormat="1" x14ac:dyDescent="0.25">
      <c r="A72" s="17">
        <v>20230824</v>
      </c>
      <c r="B72" s="17" t="s">
        <v>26</v>
      </c>
      <c r="C72" s="17">
        <v>6</v>
      </c>
      <c r="D72" s="17" t="s">
        <v>30</v>
      </c>
      <c r="E72" s="17" t="s">
        <v>19</v>
      </c>
      <c r="F72" s="17" t="s">
        <v>21</v>
      </c>
      <c r="G72" s="17">
        <v>10</v>
      </c>
      <c r="J72" s="18">
        <v>0.25</v>
      </c>
      <c r="K72" s="18">
        <v>0.11</v>
      </c>
      <c r="L72" s="17">
        <v>0.59899999999999998</v>
      </c>
      <c r="M72" s="17">
        <v>0.61199999999999999</v>
      </c>
      <c r="N72" s="17">
        <v>3.3920000000000003</v>
      </c>
      <c r="O72" s="17">
        <v>3.3560000000000003</v>
      </c>
      <c r="P72" s="17">
        <f t="shared" ref="P72:P73" si="55">N72-L72</f>
        <v>2.7930000000000001</v>
      </c>
      <c r="Q72" s="17">
        <f t="shared" ref="Q72:Q73" si="56">O72-M72</f>
        <v>2.7440000000000002</v>
      </c>
      <c r="R72" s="17">
        <f t="shared" ref="R72:R73" si="57">AVERAGE(P72:Q72)</f>
        <v>2.7685000000000004</v>
      </c>
      <c r="S72" s="17">
        <f t="shared" ref="S72:S73" si="58">R72/4.2427*J72/K72</f>
        <v>1.483028603140796</v>
      </c>
      <c r="T72" s="17">
        <f t="shared" ref="T72:T73" si="59">S72*342.3</f>
        <v>507.64069085509448</v>
      </c>
      <c r="U72" s="17">
        <f t="shared" ref="U72:U73" si="60">T72*0.42</f>
        <v>213.20909015913966</v>
      </c>
      <c r="V72" s="19">
        <f t="shared" ref="V72:V73" si="61">U72*G72</f>
        <v>2132.0909015913967</v>
      </c>
      <c r="W72" s="17">
        <f t="shared" si="51"/>
        <v>2085.1849017563859</v>
      </c>
      <c r="Y72" s="20">
        <f t="shared" si="52"/>
        <v>0.42641818031827933</v>
      </c>
    </row>
    <row r="73" spans="1:25" s="17" customFormat="1" x14ac:dyDescent="0.25">
      <c r="A73" s="17">
        <v>20230824</v>
      </c>
      <c r="B73" s="17" t="s">
        <v>26</v>
      </c>
      <c r="C73" s="17">
        <v>6</v>
      </c>
      <c r="D73" s="17" t="s">
        <v>30</v>
      </c>
      <c r="E73" s="17" t="s">
        <v>27</v>
      </c>
      <c r="F73" s="17" t="s">
        <v>21</v>
      </c>
      <c r="G73" s="17">
        <v>10</v>
      </c>
      <c r="J73" s="18">
        <v>0.25</v>
      </c>
      <c r="K73" s="18">
        <v>0.11</v>
      </c>
      <c r="L73" s="17">
        <v>0.80400000000000005</v>
      </c>
      <c r="M73" s="17">
        <v>0.81599999999999995</v>
      </c>
      <c r="N73" s="17">
        <v>3.6307999999999998</v>
      </c>
      <c r="O73" s="17">
        <v>3.6823999999999999</v>
      </c>
      <c r="P73" s="17">
        <f t="shared" si="55"/>
        <v>2.8267999999999995</v>
      </c>
      <c r="Q73" s="17">
        <f t="shared" si="56"/>
        <v>2.8664000000000001</v>
      </c>
      <c r="R73" s="17">
        <f t="shared" si="57"/>
        <v>2.8465999999999996</v>
      </c>
      <c r="S73" s="17">
        <f t="shared" si="58"/>
        <v>1.5248651694782693</v>
      </c>
      <c r="T73" s="17">
        <f t="shared" si="59"/>
        <v>521.96134751241163</v>
      </c>
      <c r="U73" s="17">
        <f t="shared" si="60"/>
        <v>219.22376595521288</v>
      </c>
      <c r="V73" s="19">
        <f t="shared" si="61"/>
        <v>2192.2376595521287</v>
      </c>
      <c r="W73" s="17">
        <f t="shared" si="51"/>
        <v>2144.008431041982</v>
      </c>
      <c r="Y73" s="20">
        <f t="shared" si="52"/>
        <v>0.43844753191042579</v>
      </c>
    </row>
    <row r="74" spans="1:25" s="17" customFormat="1" x14ac:dyDescent="0.25">
      <c r="A74" s="17">
        <v>20230823</v>
      </c>
      <c r="B74" s="17" t="s">
        <v>26</v>
      </c>
      <c r="C74" s="17">
        <v>1</v>
      </c>
      <c r="D74" s="17" t="s">
        <v>31</v>
      </c>
      <c r="F74" s="17" t="s">
        <v>21</v>
      </c>
      <c r="G74" s="17">
        <v>10</v>
      </c>
      <c r="J74" s="18">
        <v>0.25</v>
      </c>
      <c r="K74" s="18">
        <v>0.11</v>
      </c>
      <c r="L74" s="17">
        <v>1.1719999999999999</v>
      </c>
      <c r="M74" s="17">
        <v>1.117</v>
      </c>
      <c r="N74" s="17">
        <v>3.7450000000000001</v>
      </c>
      <c r="O74" s="17">
        <v>3.7125999999999997</v>
      </c>
      <c r="P74" s="17">
        <f t="shared" ref="P74:P78" si="62">N74-L74</f>
        <v>2.5730000000000004</v>
      </c>
      <c r="Q74" s="17">
        <f>O74-M74</f>
        <v>2.5955999999999997</v>
      </c>
      <c r="R74" s="17">
        <f t="shared" ref="R74:R78" si="63">AVERAGE(P74:Q74)</f>
        <v>2.5842999999999998</v>
      </c>
      <c r="S74" s="17">
        <f t="shared" ref="S74:S78" si="64">R74/4.2427*J74/K74</f>
        <v>1.3843564454024773</v>
      </c>
      <c r="T74" s="17">
        <f t="shared" ref="T74:T78" si="65">S74*342.3</f>
        <v>473.86521126126797</v>
      </c>
      <c r="U74" s="17">
        <f t="shared" ref="U74:U78" si="66">T74*0.42</f>
        <v>199.02338872973255</v>
      </c>
      <c r="V74" s="19">
        <f>U74*G74</f>
        <v>1990.2338872973255</v>
      </c>
      <c r="W74" s="17">
        <f t="shared" si="51"/>
        <v>1946.4487417767841</v>
      </c>
      <c r="Y74" s="20">
        <f t="shared" si="52"/>
        <v>0.3980467774594651</v>
      </c>
    </row>
    <row r="75" spans="1:25" s="17" customFormat="1" x14ac:dyDescent="0.25">
      <c r="A75" s="17">
        <v>20230822</v>
      </c>
      <c r="B75" s="17" t="s">
        <v>26</v>
      </c>
      <c r="C75" s="17">
        <v>2</v>
      </c>
      <c r="D75" s="17" t="s">
        <v>31</v>
      </c>
      <c r="F75" s="17" t="s">
        <v>21</v>
      </c>
      <c r="G75" s="17">
        <v>10</v>
      </c>
      <c r="J75" s="18">
        <v>0.25</v>
      </c>
      <c r="K75" s="18">
        <v>0.11</v>
      </c>
      <c r="L75" s="17">
        <v>1.3759999999999999</v>
      </c>
      <c r="M75" s="17">
        <v>1.3340000000000001</v>
      </c>
      <c r="N75" s="17">
        <v>3.7920000000000003</v>
      </c>
      <c r="O75" s="17">
        <v>3.7702</v>
      </c>
      <c r="P75" s="17">
        <f t="shared" si="62"/>
        <v>2.4160000000000004</v>
      </c>
      <c r="Q75" s="17">
        <f t="shared" ref="Q75:Q78" si="67">O75-M75</f>
        <v>2.4361999999999999</v>
      </c>
      <c r="R75" s="17">
        <f t="shared" si="63"/>
        <v>2.4260999999999999</v>
      </c>
      <c r="S75" s="17">
        <f t="shared" si="64"/>
        <v>1.2996119537944317</v>
      </c>
      <c r="T75" s="17">
        <f t="shared" si="65"/>
        <v>444.85717178383402</v>
      </c>
      <c r="U75" s="17">
        <f t="shared" si="66"/>
        <v>186.84001214921028</v>
      </c>
      <c r="V75" s="19">
        <f>U75*G75</f>
        <v>1868.4001214921027</v>
      </c>
      <c r="W75" s="17">
        <f t="shared" si="51"/>
        <v>1827.2953188192764</v>
      </c>
      <c r="Y75" s="20">
        <f t="shared" si="52"/>
        <v>0.37368002429842057</v>
      </c>
    </row>
    <row r="76" spans="1:25" s="17" customFormat="1" x14ac:dyDescent="0.25">
      <c r="A76" s="17">
        <v>20230823</v>
      </c>
      <c r="B76" s="17" t="s">
        <v>26</v>
      </c>
      <c r="C76" s="17">
        <v>3</v>
      </c>
      <c r="D76" s="17" t="s">
        <v>31</v>
      </c>
      <c r="F76" s="17" t="s">
        <v>21</v>
      </c>
      <c r="G76" s="17">
        <v>10</v>
      </c>
      <c r="J76" s="18">
        <v>0.25</v>
      </c>
      <c r="K76" s="18">
        <v>0.11</v>
      </c>
      <c r="L76" s="17">
        <v>1.2529999999999999</v>
      </c>
      <c r="M76" s="17">
        <v>1.248</v>
      </c>
      <c r="N76" s="17">
        <v>3.7079999999999997</v>
      </c>
      <c r="O76" s="17">
        <v>3.7155999999999998</v>
      </c>
      <c r="P76" s="17">
        <f t="shared" si="62"/>
        <v>2.4550000000000001</v>
      </c>
      <c r="Q76" s="17">
        <f t="shared" si="67"/>
        <v>2.4676</v>
      </c>
      <c r="R76" s="17">
        <f t="shared" si="63"/>
        <v>2.4613</v>
      </c>
      <c r="S76" s="17">
        <f t="shared" si="64"/>
        <v>1.3184678710169553</v>
      </c>
      <c r="T76" s="17">
        <f t="shared" si="65"/>
        <v>451.31155224910378</v>
      </c>
      <c r="U76" s="17">
        <f t="shared" si="66"/>
        <v>189.55085194462359</v>
      </c>
      <c r="V76" s="19">
        <f>U76*G76</f>
        <v>1895.5085194462358</v>
      </c>
      <c r="W76" s="17">
        <f t="shared" si="51"/>
        <v>1853.8073320184185</v>
      </c>
      <c r="Y76" s="20">
        <f t="shared" si="52"/>
        <v>0.37910170388924719</v>
      </c>
    </row>
    <row r="77" spans="1:25" s="17" customFormat="1" x14ac:dyDescent="0.25">
      <c r="A77" s="17">
        <v>20230824</v>
      </c>
      <c r="B77" s="17" t="s">
        <v>26</v>
      </c>
      <c r="C77" s="17">
        <v>5</v>
      </c>
      <c r="D77" s="17" t="s">
        <v>31</v>
      </c>
      <c r="F77" s="17" t="s">
        <v>21</v>
      </c>
      <c r="G77" s="17">
        <v>10</v>
      </c>
      <c r="J77" s="18">
        <v>0.25</v>
      </c>
      <c r="K77" s="18">
        <v>0.11</v>
      </c>
      <c r="L77" s="17">
        <v>1.137</v>
      </c>
      <c r="M77" s="17">
        <v>1.143</v>
      </c>
      <c r="N77" s="17">
        <v>3.6624000000000003</v>
      </c>
      <c r="O77" s="17">
        <v>3.6680000000000001</v>
      </c>
      <c r="P77" s="17">
        <f t="shared" si="62"/>
        <v>2.5254000000000003</v>
      </c>
      <c r="Q77" s="17">
        <f t="shared" si="67"/>
        <v>2.5250000000000004</v>
      </c>
      <c r="R77" s="17">
        <f t="shared" si="63"/>
        <v>2.5252000000000003</v>
      </c>
      <c r="S77" s="17">
        <f t="shared" si="64"/>
        <v>1.352697788929434</v>
      </c>
      <c r="T77" s="17">
        <f t="shared" si="65"/>
        <v>463.02845315054526</v>
      </c>
      <c r="U77" s="17">
        <f t="shared" si="66"/>
        <v>194.47195032322901</v>
      </c>
      <c r="V77" s="19">
        <f>U77*G77</f>
        <v>1944.7195032322902</v>
      </c>
      <c r="W77" s="17">
        <f t="shared" si="51"/>
        <v>1901.9356741611796</v>
      </c>
      <c r="Y77" s="20">
        <f t="shared" si="52"/>
        <v>0.38894390064645801</v>
      </c>
    </row>
    <row r="78" spans="1:25" s="17" customFormat="1" x14ac:dyDescent="0.25">
      <c r="A78" s="17">
        <v>20230824</v>
      </c>
      <c r="B78" s="17" t="s">
        <v>26</v>
      </c>
      <c r="C78" s="17">
        <v>6</v>
      </c>
      <c r="D78" s="17" t="s">
        <v>31</v>
      </c>
      <c r="F78" s="17" t="s">
        <v>21</v>
      </c>
      <c r="G78" s="17">
        <v>10</v>
      </c>
      <c r="J78" s="18">
        <v>0.25</v>
      </c>
      <c r="K78" s="18">
        <v>0.11</v>
      </c>
      <c r="L78" s="17">
        <v>0.94599999999999995</v>
      </c>
      <c r="M78" s="17">
        <v>0.95699999999999996</v>
      </c>
      <c r="N78" s="17">
        <v>3.7435999999999998</v>
      </c>
      <c r="O78" s="17">
        <v>3.7242000000000006</v>
      </c>
      <c r="P78" s="17">
        <f t="shared" si="62"/>
        <v>2.7976000000000001</v>
      </c>
      <c r="Q78" s="17">
        <f t="shared" si="67"/>
        <v>2.7672000000000008</v>
      </c>
      <c r="R78" s="17">
        <f t="shared" si="63"/>
        <v>2.7824000000000004</v>
      </c>
      <c r="S78" s="17">
        <f t="shared" si="64"/>
        <v>1.4904745477258265</v>
      </c>
      <c r="T78" s="17">
        <f t="shared" si="65"/>
        <v>510.18943768655043</v>
      </c>
      <c r="U78" s="17">
        <f t="shared" si="66"/>
        <v>214.27956382835117</v>
      </c>
      <c r="V78" s="19">
        <f>U78*G78</f>
        <v>2142.7956382835118</v>
      </c>
      <c r="W78" s="17">
        <f t="shared" si="51"/>
        <v>2095.6541342412743</v>
      </c>
      <c r="Y78" s="20">
        <f t="shared" si="52"/>
        <v>0.42855912765670234</v>
      </c>
    </row>
    <row r="79" spans="1:25" x14ac:dyDescent="0.25">
      <c r="A79" s="7">
        <v>20230904</v>
      </c>
      <c r="B79" s="7" t="s">
        <v>32</v>
      </c>
      <c r="C79" s="7">
        <v>1</v>
      </c>
      <c r="D79" s="7" t="s">
        <v>29</v>
      </c>
      <c r="E79" s="7" t="s">
        <v>27</v>
      </c>
      <c r="F79" s="7" t="s">
        <v>21</v>
      </c>
      <c r="G79" s="8">
        <v>5</v>
      </c>
      <c r="H79" s="7">
        <v>10</v>
      </c>
      <c r="I79" s="7">
        <v>0.5</v>
      </c>
      <c r="J79" s="8">
        <v>0.25</v>
      </c>
      <c r="K79" s="8">
        <v>1.4999999999999999E-2</v>
      </c>
      <c r="L79" s="11">
        <v>0.3</v>
      </c>
      <c r="M79" s="7">
        <v>0.29399999999999998</v>
      </c>
      <c r="N79" s="7">
        <v>0.31283333333333335</v>
      </c>
      <c r="O79" s="7">
        <v>0.30516666666666664</v>
      </c>
      <c r="P79" s="7">
        <f t="shared" ref="P79:P80" si="68">N79-L79</f>
        <v>1.2833333333333363E-2</v>
      </c>
      <c r="Q79" s="7">
        <f t="shared" ref="Q79:Q89" si="69">O79-M79</f>
        <v>1.1166666666666658E-2</v>
      </c>
      <c r="R79" s="7">
        <f t="shared" ref="R79:R90" si="70">AVERAGE(P79:Q79)</f>
        <v>1.2000000000000011E-2</v>
      </c>
      <c r="S79" s="7">
        <f t="shared" ref="S79:S90" si="71">R79/4.2427*J79/K79</f>
        <v>4.713979305630852E-2</v>
      </c>
      <c r="T79" s="7">
        <f t="shared" ref="T79:T90" si="72">S79*342.3</f>
        <v>16.135951163174408</v>
      </c>
      <c r="U79" s="7">
        <f t="shared" ref="U79:U90" si="73">T79*0.42</f>
        <v>6.7770994885332509</v>
      </c>
      <c r="V79" s="9">
        <f t="shared" ref="V79:V84" si="74">U79*I79</f>
        <v>3.3885497442666255</v>
      </c>
      <c r="W79" s="7">
        <f t="shared" ref="W79:W84" si="75">U79*0.47</f>
        <v>3.1852367596106279</v>
      </c>
    </row>
    <row r="80" spans="1:25" x14ac:dyDescent="0.25">
      <c r="A80" s="7">
        <v>20230904</v>
      </c>
      <c r="B80" s="7" t="s">
        <v>32</v>
      </c>
      <c r="C80" s="7">
        <v>2</v>
      </c>
      <c r="D80" s="7" t="s">
        <v>29</v>
      </c>
      <c r="E80" s="7" t="s">
        <v>27</v>
      </c>
      <c r="F80" s="7" t="s">
        <v>21</v>
      </c>
      <c r="G80" s="8">
        <v>5</v>
      </c>
      <c r="H80" s="7">
        <v>10</v>
      </c>
      <c r="I80" s="7">
        <v>0.5</v>
      </c>
      <c r="J80" s="8">
        <v>0.25</v>
      </c>
      <c r="K80" s="8">
        <v>1.4999999999999999E-2</v>
      </c>
      <c r="L80" s="7">
        <v>0.28499999999999998</v>
      </c>
      <c r="M80" s="7">
        <v>0.28199999999999997</v>
      </c>
      <c r="N80" s="7">
        <v>0.34849999999999998</v>
      </c>
      <c r="O80" s="7">
        <v>0.34316666666666668</v>
      </c>
      <c r="P80" s="7">
        <f t="shared" si="68"/>
        <v>6.3500000000000001E-2</v>
      </c>
      <c r="Q80" s="7">
        <f t="shared" si="69"/>
        <v>6.1166666666666702E-2</v>
      </c>
      <c r="R80" s="7">
        <f t="shared" si="70"/>
        <v>6.2333333333333352E-2</v>
      </c>
      <c r="S80" s="7">
        <f t="shared" si="71"/>
        <v>0.24486503615360247</v>
      </c>
      <c r="T80" s="7">
        <f t="shared" si="72"/>
        <v>83.817301875378135</v>
      </c>
      <c r="U80" s="7">
        <f t="shared" si="73"/>
        <v>35.203266787658812</v>
      </c>
      <c r="V80" s="9">
        <f t="shared" si="74"/>
        <v>17.601633393829406</v>
      </c>
      <c r="W80" s="7">
        <f t="shared" si="75"/>
        <v>16.545535390199642</v>
      </c>
    </row>
    <row r="81" spans="1:25" x14ac:dyDescent="0.25">
      <c r="A81" s="7">
        <v>20230904</v>
      </c>
      <c r="B81" s="7" t="s">
        <v>32</v>
      </c>
      <c r="C81" s="7">
        <v>3</v>
      </c>
      <c r="D81" s="7" t="s">
        <v>29</v>
      </c>
      <c r="E81" s="7" t="s">
        <v>27</v>
      </c>
      <c r="F81" s="7" t="s">
        <v>21</v>
      </c>
      <c r="G81" s="8">
        <v>5</v>
      </c>
      <c r="H81" s="7">
        <v>10</v>
      </c>
      <c r="I81" s="7">
        <v>0.5</v>
      </c>
      <c r="J81" s="8">
        <v>0.25</v>
      </c>
      <c r="K81" s="8">
        <v>1.4999999999999999E-2</v>
      </c>
      <c r="L81" s="7">
        <v>0.27</v>
      </c>
      <c r="M81" s="7">
        <v>0.27100000000000002</v>
      </c>
      <c r="N81" s="7">
        <v>0.28000000000000003</v>
      </c>
      <c r="O81" s="7">
        <v>0.28283333333333333</v>
      </c>
      <c r="P81" s="7">
        <f>N81-L81</f>
        <v>1.0000000000000009E-2</v>
      </c>
      <c r="Q81" s="7">
        <f t="shared" si="69"/>
        <v>1.1833333333333307E-2</v>
      </c>
      <c r="R81" s="7">
        <f t="shared" si="70"/>
        <v>1.0916666666666658E-2</v>
      </c>
      <c r="S81" s="7">
        <f t="shared" si="71"/>
        <v>4.2884117294280599E-2</v>
      </c>
      <c r="T81" s="7">
        <f t="shared" si="72"/>
        <v>14.67923334983225</v>
      </c>
      <c r="U81" s="7">
        <f t="shared" si="73"/>
        <v>6.1652780069295448</v>
      </c>
      <c r="V81" s="9">
        <f t="shared" si="74"/>
        <v>3.0826390034647724</v>
      </c>
      <c r="W81" s="7">
        <f t="shared" si="75"/>
        <v>2.8976806632568857</v>
      </c>
    </row>
    <row r="82" spans="1:25" x14ac:dyDescent="0.25">
      <c r="A82" s="7">
        <v>20230904</v>
      </c>
      <c r="B82" s="7" t="s">
        <v>32</v>
      </c>
      <c r="C82" s="7">
        <v>4</v>
      </c>
      <c r="D82" s="7" t="s">
        <v>29</v>
      </c>
      <c r="E82" s="7" t="s">
        <v>27</v>
      </c>
      <c r="F82" s="7" t="s">
        <v>21</v>
      </c>
      <c r="G82" s="8">
        <v>5</v>
      </c>
      <c r="H82" s="7">
        <v>10</v>
      </c>
      <c r="I82" s="7">
        <v>0.5</v>
      </c>
      <c r="J82" s="8">
        <v>0.25</v>
      </c>
      <c r="K82" s="8">
        <v>1.4999999999999999E-2</v>
      </c>
      <c r="L82" s="7">
        <v>0.27400000000000002</v>
      </c>
      <c r="M82" s="7">
        <v>0.27600000000000002</v>
      </c>
      <c r="N82" s="7">
        <v>0.29783333333333334</v>
      </c>
      <c r="O82" s="7">
        <v>0.29899999999999999</v>
      </c>
      <c r="P82" s="7">
        <f t="shared" ref="P82:P90" si="76">N82-L82</f>
        <v>2.3833333333333317E-2</v>
      </c>
      <c r="Q82" s="7">
        <f t="shared" si="69"/>
        <v>2.2999999999999965E-2</v>
      </c>
      <c r="R82" s="7">
        <f t="shared" si="70"/>
        <v>2.3416666666666641E-2</v>
      </c>
      <c r="S82" s="7">
        <f t="shared" si="71"/>
        <v>9.1988068394601871E-2</v>
      </c>
      <c r="T82" s="7">
        <f t="shared" si="72"/>
        <v>31.487515811472221</v>
      </c>
      <c r="U82" s="7">
        <f t="shared" si="73"/>
        <v>13.224756640818333</v>
      </c>
      <c r="V82" s="9">
        <f t="shared" si="74"/>
        <v>6.6123783204091664</v>
      </c>
      <c r="W82" s="7">
        <f t="shared" si="75"/>
        <v>6.2156356211846164</v>
      </c>
    </row>
    <row r="83" spans="1:25" x14ac:dyDescent="0.25">
      <c r="A83" s="7">
        <v>20230904</v>
      </c>
      <c r="B83" s="7" t="s">
        <v>32</v>
      </c>
      <c r="C83" s="7">
        <v>5</v>
      </c>
      <c r="D83" s="7" t="s">
        <v>29</v>
      </c>
      <c r="E83" s="7" t="s">
        <v>27</v>
      </c>
      <c r="F83" s="7" t="s">
        <v>21</v>
      </c>
      <c r="G83" s="8">
        <v>5</v>
      </c>
      <c r="H83" s="7">
        <v>10</v>
      </c>
      <c r="I83" s="7">
        <v>0.5</v>
      </c>
      <c r="J83" s="8">
        <v>0.25</v>
      </c>
      <c r="K83" s="8">
        <v>1.4999999999999999E-2</v>
      </c>
      <c r="L83" s="7">
        <v>0.27700000000000002</v>
      </c>
      <c r="M83" s="7">
        <v>0.27600000000000002</v>
      </c>
      <c r="N83" s="7">
        <v>0.33100000000000002</v>
      </c>
      <c r="O83" s="7">
        <v>0.32983333333333337</v>
      </c>
      <c r="P83" s="7">
        <f t="shared" si="76"/>
        <v>5.3999999999999992E-2</v>
      </c>
      <c r="Q83" s="7">
        <f t="shared" si="69"/>
        <v>5.3833333333333344E-2</v>
      </c>
      <c r="R83" s="7">
        <f t="shared" si="70"/>
        <v>5.3916666666666668E-2</v>
      </c>
      <c r="S83" s="7">
        <f t="shared" si="71"/>
        <v>0.21180170907938606</v>
      </c>
      <c r="T83" s="7">
        <f t="shared" si="72"/>
        <v>72.499725017873857</v>
      </c>
      <c r="U83" s="7">
        <f t="shared" si="73"/>
        <v>30.449884507507019</v>
      </c>
      <c r="V83" s="9">
        <f t="shared" si="74"/>
        <v>15.224942253753509</v>
      </c>
      <c r="W83" s="7">
        <f t="shared" si="75"/>
        <v>14.311445718528297</v>
      </c>
    </row>
    <row r="84" spans="1:25" x14ac:dyDescent="0.25">
      <c r="A84" s="7">
        <v>20230904</v>
      </c>
      <c r="B84" s="7" t="s">
        <v>32</v>
      </c>
      <c r="C84" s="7">
        <v>6</v>
      </c>
      <c r="D84" s="7" t="s">
        <v>29</v>
      </c>
      <c r="E84" s="7" t="s">
        <v>27</v>
      </c>
      <c r="F84" s="7" t="s">
        <v>21</v>
      </c>
      <c r="G84" s="8">
        <v>5</v>
      </c>
      <c r="H84" s="7">
        <v>10</v>
      </c>
      <c r="I84" s="7">
        <v>0.5</v>
      </c>
      <c r="J84" s="8">
        <v>0.25</v>
      </c>
      <c r="K84" s="8">
        <v>1.4999999999999999E-2</v>
      </c>
      <c r="L84" s="7">
        <v>0.27200000000000002</v>
      </c>
      <c r="M84" s="7">
        <v>0.27700000000000002</v>
      </c>
      <c r="N84" s="7">
        <v>0.28199999999999997</v>
      </c>
      <c r="O84" s="7">
        <v>0.28699999999999998</v>
      </c>
      <c r="P84" s="7">
        <f t="shared" si="76"/>
        <v>9.9999999999999534E-3</v>
      </c>
      <c r="Q84" s="7">
        <f t="shared" si="69"/>
        <v>9.9999999999999534E-3</v>
      </c>
      <c r="R84" s="7">
        <f t="shared" si="70"/>
        <v>9.9999999999999534E-3</v>
      </c>
      <c r="S84" s="7">
        <f t="shared" si="71"/>
        <v>3.9283160880256886E-2</v>
      </c>
      <c r="T84" s="7">
        <f t="shared" si="72"/>
        <v>13.446625969311933</v>
      </c>
      <c r="U84" s="7">
        <f t="shared" si="73"/>
        <v>5.647582907111012</v>
      </c>
      <c r="V84" s="9">
        <f t="shared" si="74"/>
        <v>2.823791453555506</v>
      </c>
      <c r="W84" s="7">
        <f t="shared" si="75"/>
        <v>2.6543639663421756</v>
      </c>
    </row>
    <row r="85" spans="1:25" s="17" customFormat="1" x14ac:dyDescent="0.25">
      <c r="A85" s="17">
        <v>20230904</v>
      </c>
      <c r="B85" s="17" t="s">
        <v>32</v>
      </c>
      <c r="C85" s="17">
        <v>1</v>
      </c>
      <c r="D85" s="17" t="s">
        <v>31</v>
      </c>
      <c r="F85" s="17" t="s">
        <v>21</v>
      </c>
      <c r="G85" s="17">
        <v>10</v>
      </c>
      <c r="J85" s="18">
        <v>0.25</v>
      </c>
      <c r="K85" s="17">
        <v>0.11</v>
      </c>
      <c r="L85" s="17">
        <v>1.456</v>
      </c>
      <c r="M85" s="17">
        <v>1.4850000000000001</v>
      </c>
      <c r="N85" s="17">
        <v>3.7485999999999997</v>
      </c>
      <c r="O85" s="17">
        <v>3.5950000000000002</v>
      </c>
      <c r="P85" s="17">
        <f t="shared" si="76"/>
        <v>2.2925999999999997</v>
      </c>
      <c r="Q85" s="17">
        <f t="shared" si="69"/>
        <v>2.1100000000000003</v>
      </c>
      <c r="R85" s="17">
        <f t="shared" si="70"/>
        <v>2.2012999999999998</v>
      </c>
      <c r="S85" s="17">
        <f t="shared" si="71"/>
        <v>1.1791912097142256</v>
      </c>
      <c r="T85" s="17">
        <f t="shared" si="72"/>
        <v>403.63715108517943</v>
      </c>
      <c r="U85" s="17">
        <f t="shared" si="73"/>
        <v>169.52760345577536</v>
      </c>
      <c r="V85" s="19">
        <f t="shared" ref="V85:V89" si="77">U85*G85</f>
        <v>1695.2760345577535</v>
      </c>
      <c r="W85" s="17">
        <f>U85*9.78</f>
        <v>1657.9799617974829</v>
      </c>
      <c r="Y85" s="20">
        <f t="shared" ref="Y85:Y96" si="78">(U85*2)/1000</f>
        <v>0.33905520691155072</v>
      </c>
    </row>
    <row r="86" spans="1:25" s="17" customFormat="1" x14ac:dyDescent="0.25">
      <c r="A86" s="17">
        <v>20230904</v>
      </c>
      <c r="B86" s="17" t="s">
        <v>32</v>
      </c>
      <c r="C86" s="17">
        <v>2</v>
      </c>
      <c r="D86" s="17" t="s">
        <v>31</v>
      </c>
      <c r="F86" s="17" t="s">
        <v>21</v>
      </c>
      <c r="G86" s="17">
        <v>10</v>
      </c>
      <c r="J86" s="18">
        <v>0.25</v>
      </c>
      <c r="K86" s="17">
        <v>0.11</v>
      </c>
      <c r="L86" s="17">
        <v>1.0640000000000001</v>
      </c>
      <c r="M86" s="17">
        <v>1.0529999999999999</v>
      </c>
      <c r="N86" s="17">
        <v>3.6715999999999993</v>
      </c>
      <c r="O86" s="17">
        <v>3.6701999999999999</v>
      </c>
      <c r="P86" s="17">
        <f t="shared" si="76"/>
        <v>2.6075999999999993</v>
      </c>
      <c r="Q86" s="17">
        <f t="shared" si="69"/>
        <v>2.6172</v>
      </c>
      <c r="R86" s="17">
        <f t="shared" si="70"/>
        <v>2.6123999999999996</v>
      </c>
      <c r="S86" s="17">
        <f t="shared" si="71"/>
        <v>1.3994090384125029</v>
      </c>
      <c r="T86" s="17">
        <f t="shared" si="72"/>
        <v>479.01771384859973</v>
      </c>
      <c r="U86" s="17">
        <f t="shared" si="73"/>
        <v>201.18743981641188</v>
      </c>
      <c r="V86" s="19">
        <f t="shared" si="77"/>
        <v>2011.8743981641187</v>
      </c>
      <c r="W86" s="17">
        <f t="shared" ref="W86:W96" si="79">U86*9.78</f>
        <v>1967.613161404508</v>
      </c>
      <c r="Y86" s="20">
        <f t="shared" si="78"/>
        <v>0.40237487963282376</v>
      </c>
    </row>
    <row r="87" spans="1:25" s="17" customFormat="1" x14ac:dyDescent="0.25">
      <c r="A87" s="17">
        <v>20230904</v>
      </c>
      <c r="B87" s="17" t="s">
        <v>32</v>
      </c>
      <c r="C87" s="17">
        <v>3</v>
      </c>
      <c r="D87" s="17" t="s">
        <v>31</v>
      </c>
      <c r="F87" s="17" t="s">
        <v>21</v>
      </c>
      <c r="G87" s="17">
        <v>10</v>
      </c>
      <c r="J87" s="18">
        <v>0.25</v>
      </c>
      <c r="K87" s="17">
        <v>0.11</v>
      </c>
      <c r="L87" s="17">
        <v>1.524</v>
      </c>
      <c r="M87" s="17">
        <v>1.5209999999999999</v>
      </c>
      <c r="N87" s="17">
        <v>3.7296</v>
      </c>
      <c r="O87" s="17">
        <v>3.7174</v>
      </c>
      <c r="P87" s="17">
        <f t="shared" si="76"/>
        <v>2.2056</v>
      </c>
      <c r="Q87" s="17">
        <f t="shared" si="69"/>
        <v>2.1964000000000001</v>
      </c>
      <c r="R87" s="17">
        <f t="shared" si="70"/>
        <v>2.2010000000000001</v>
      </c>
      <c r="S87" s="17">
        <f t="shared" si="71"/>
        <v>1.1790305058742609</v>
      </c>
      <c r="T87" s="17">
        <f t="shared" si="72"/>
        <v>403.58214216075953</v>
      </c>
      <c r="U87" s="17">
        <f t="shared" si="73"/>
        <v>169.50449970751899</v>
      </c>
      <c r="V87" s="19">
        <f t="shared" si="77"/>
        <v>1695.0449970751899</v>
      </c>
      <c r="W87" s="17">
        <f t="shared" si="79"/>
        <v>1657.7540071395356</v>
      </c>
      <c r="Y87" s="20">
        <f t="shared" si="78"/>
        <v>0.33900899941503798</v>
      </c>
    </row>
    <row r="88" spans="1:25" s="17" customFormat="1" x14ac:dyDescent="0.25">
      <c r="A88" s="17">
        <v>20230904</v>
      </c>
      <c r="B88" s="17" t="s">
        <v>32</v>
      </c>
      <c r="C88" s="17">
        <v>4</v>
      </c>
      <c r="D88" s="17" t="s">
        <v>31</v>
      </c>
      <c r="F88" s="17" t="s">
        <v>21</v>
      </c>
      <c r="G88" s="17">
        <v>10</v>
      </c>
      <c r="J88" s="18">
        <v>0.25</v>
      </c>
      <c r="K88" s="17">
        <v>0.11</v>
      </c>
      <c r="L88" s="17">
        <v>1.1259999999999999</v>
      </c>
      <c r="M88" s="17">
        <v>1.099</v>
      </c>
      <c r="N88" s="17">
        <v>3.6624000000000003</v>
      </c>
      <c r="O88" s="17">
        <v>3.649</v>
      </c>
      <c r="P88" s="17">
        <f t="shared" si="76"/>
        <v>2.5364000000000004</v>
      </c>
      <c r="Q88" s="17">
        <f t="shared" si="69"/>
        <v>2.5499999999999998</v>
      </c>
      <c r="R88" s="17">
        <f t="shared" si="70"/>
        <v>2.5432000000000001</v>
      </c>
      <c r="S88" s="17">
        <f t="shared" si="71"/>
        <v>1.3623400193273152</v>
      </c>
      <c r="T88" s="17">
        <f t="shared" si="72"/>
        <v>466.32898861574</v>
      </c>
      <c r="U88" s="17">
        <f t="shared" si="73"/>
        <v>195.8581752186108</v>
      </c>
      <c r="V88" s="19">
        <f t="shared" si="77"/>
        <v>1958.5817521861079</v>
      </c>
      <c r="W88" s="17">
        <f t="shared" si="79"/>
        <v>1915.4929536380134</v>
      </c>
      <c r="Y88" s="20">
        <f t="shared" si="78"/>
        <v>0.39171635043722158</v>
      </c>
    </row>
    <row r="89" spans="1:25" s="17" customFormat="1" x14ac:dyDescent="0.25">
      <c r="A89" s="17">
        <v>20230904</v>
      </c>
      <c r="B89" s="17" t="s">
        <v>32</v>
      </c>
      <c r="C89" s="17">
        <v>5</v>
      </c>
      <c r="D89" s="17" t="s">
        <v>31</v>
      </c>
      <c r="F89" s="17" t="s">
        <v>21</v>
      </c>
      <c r="G89" s="17">
        <v>10</v>
      </c>
      <c r="J89" s="18">
        <v>0.25</v>
      </c>
      <c r="K89" s="17">
        <v>0.11</v>
      </c>
      <c r="L89" s="17">
        <v>1.2609999999999999</v>
      </c>
      <c r="M89" s="17">
        <v>1.2190000000000001</v>
      </c>
      <c r="N89" s="17">
        <v>3.7340000000000004</v>
      </c>
      <c r="O89" s="17">
        <v>3.7369999999999997</v>
      </c>
      <c r="P89" s="17">
        <f t="shared" si="76"/>
        <v>2.4730000000000008</v>
      </c>
      <c r="Q89" s="17">
        <f t="shared" si="69"/>
        <v>2.5179999999999998</v>
      </c>
      <c r="R89" s="17">
        <f t="shared" si="70"/>
        <v>2.4955000000000003</v>
      </c>
      <c r="S89" s="17">
        <f t="shared" si="71"/>
        <v>1.3367881087729299</v>
      </c>
      <c r="T89" s="17">
        <f t="shared" si="72"/>
        <v>457.5825696329739</v>
      </c>
      <c r="U89" s="17">
        <f t="shared" si="73"/>
        <v>192.18467924584903</v>
      </c>
      <c r="V89" s="19">
        <f t="shared" si="77"/>
        <v>1921.8467924584902</v>
      </c>
      <c r="W89" s="17">
        <f t="shared" si="79"/>
        <v>1879.5661630244033</v>
      </c>
      <c r="Y89" s="20">
        <f t="shared" si="78"/>
        <v>0.38436935849169807</v>
      </c>
    </row>
    <row r="90" spans="1:25" s="17" customFormat="1" x14ac:dyDescent="0.25">
      <c r="A90" s="17">
        <v>20230904</v>
      </c>
      <c r="B90" s="17" t="s">
        <v>32</v>
      </c>
      <c r="C90" s="17">
        <v>6</v>
      </c>
      <c r="D90" s="17" t="s">
        <v>31</v>
      </c>
      <c r="F90" s="17" t="s">
        <v>21</v>
      </c>
      <c r="G90" s="17">
        <v>10</v>
      </c>
      <c r="J90" s="18">
        <v>0.25</v>
      </c>
      <c r="K90" s="17">
        <v>0.11</v>
      </c>
      <c r="L90" s="17">
        <v>0.92500000000000004</v>
      </c>
      <c r="M90" s="17">
        <v>0.93</v>
      </c>
      <c r="N90" s="17">
        <v>3.5532000000000004</v>
      </c>
      <c r="O90" s="17">
        <v>3.5609999999999999</v>
      </c>
      <c r="P90" s="17">
        <f t="shared" si="76"/>
        <v>2.6282000000000005</v>
      </c>
      <c r="Q90" s="17">
        <f>O90-M90</f>
        <v>2.6309999999999998</v>
      </c>
      <c r="R90" s="17">
        <f t="shared" si="70"/>
        <v>2.6295999999999999</v>
      </c>
      <c r="S90" s="17">
        <f t="shared" si="71"/>
        <v>1.408622725237145</v>
      </c>
      <c r="T90" s="17">
        <f t="shared" si="72"/>
        <v>482.17155884867475</v>
      </c>
      <c r="U90" s="17">
        <f t="shared" si="73"/>
        <v>202.51205471644337</v>
      </c>
      <c r="V90" s="19">
        <f>U90*G90</f>
        <v>2025.1205471644337</v>
      </c>
      <c r="W90" s="17">
        <f t="shared" si="79"/>
        <v>1980.567895126816</v>
      </c>
      <c r="Y90" s="20">
        <f t="shared" si="78"/>
        <v>0.40502410943288675</v>
      </c>
    </row>
    <row r="91" spans="1:25" s="17" customFormat="1" x14ac:dyDescent="0.25">
      <c r="A91" s="17">
        <v>20230904</v>
      </c>
      <c r="B91" s="17" t="s">
        <v>32</v>
      </c>
      <c r="C91" s="17">
        <v>1</v>
      </c>
      <c r="D91" s="17" t="s">
        <v>30</v>
      </c>
      <c r="E91" s="17" t="s">
        <v>27</v>
      </c>
      <c r="F91" s="17" t="s">
        <v>21</v>
      </c>
      <c r="G91" s="17">
        <v>10</v>
      </c>
      <c r="J91" s="18">
        <v>0.25</v>
      </c>
      <c r="K91" s="17">
        <v>0.11</v>
      </c>
      <c r="L91" s="17">
        <v>0.5</v>
      </c>
      <c r="M91" s="17">
        <v>0.505</v>
      </c>
      <c r="N91" s="17">
        <v>2.7058</v>
      </c>
      <c r="O91" s="17">
        <v>2.7247999999999997</v>
      </c>
      <c r="P91" s="17">
        <f t="shared" ref="P91:P96" si="80">N91-L91</f>
        <v>2.2058</v>
      </c>
      <c r="Q91" s="17">
        <f t="shared" ref="Q91:Q95" si="81">O91-M91</f>
        <v>2.2197999999999998</v>
      </c>
      <c r="R91" s="17">
        <f t="shared" ref="R91:R96" si="82">AVERAGE(P91:Q91)</f>
        <v>2.2127999999999997</v>
      </c>
      <c r="S91" s="17">
        <f t="shared" ref="S91:S96" si="83">R91/4.2427*J91/K91</f>
        <v>1.1853515235795384</v>
      </c>
      <c r="T91" s="17">
        <f t="shared" ref="T91:T96" si="84">S91*342.3</f>
        <v>405.745826521276</v>
      </c>
      <c r="U91" s="17">
        <f t="shared" ref="U91:U96" si="85">T91*0.42</f>
        <v>170.4132471389359</v>
      </c>
      <c r="V91" s="19">
        <f t="shared" ref="V91:V95" si="86">U91*G91</f>
        <v>1704.1324713893591</v>
      </c>
      <c r="W91" s="17">
        <f t="shared" si="79"/>
        <v>1666.641557018793</v>
      </c>
      <c r="Y91" s="20">
        <f t="shared" si="78"/>
        <v>0.34082649427787182</v>
      </c>
    </row>
    <row r="92" spans="1:25" s="17" customFormat="1" x14ac:dyDescent="0.25">
      <c r="A92" s="17">
        <v>20230904</v>
      </c>
      <c r="B92" s="17" t="s">
        <v>32</v>
      </c>
      <c r="C92" s="17">
        <v>2</v>
      </c>
      <c r="D92" s="17" t="s">
        <v>30</v>
      </c>
      <c r="E92" s="17" t="s">
        <v>27</v>
      </c>
      <c r="F92" s="17" t="s">
        <v>21</v>
      </c>
      <c r="G92" s="17">
        <v>10</v>
      </c>
      <c r="J92" s="18">
        <v>0.25</v>
      </c>
      <c r="K92" s="17">
        <v>0.11</v>
      </c>
      <c r="L92" s="17">
        <v>0.435</v>
      </c>
      <c r="M92" s="17">
        <v>0.44700000000000001</v>
      </c>
      <c r="N92" s="17">
        <v>2.1097999999999999</v>
      </c>
      <c r="O92" s="17">
        <v>2.1705999999999999</v>
      </c>
      <c r="P92" s="17">
        <f t="shared" si="80"/>
        <v>1.6747999999999998</v>
      </c>
      <c r="Q92" s="17">
        <f t="shared" si="81"/>
        <v>1.7235999999999998</v>
      </c>
      <c r="R92" s="17">
        <f t="shared" si="82"/>
        <v>1.6991999999999998</v>
      </c>
      <c r="S92" s="17">
        <f t="shared" si="83"/>
        <v>0.91022654955999283</v>
      </c>
      <c r="T92" s="17">
        <f t="shared" si="84"/>
        <v>311.57054791438554</v>
      </c>
      <c r="U92" s="17">
        <f t="shared" si="85"/>
        <v>130.85963012404193</v>
      </c>
      <c r="V92" s="19">
        <f t="shared" si="86"/>
        <v>1308.5963012404193</v>
      </c>
      <c r="W92" s="17">
        <f t="shared" si="79"/>
        <v>1279.80718261313</v>
      </c>
      <c r="Y92" s="20">
        <f t="shared" si="78"/>
        <v>0.26171926024808384</v>
      </c>
    </row>
    <row r="93" spans="1:25" s="17" customFormat="1" x14ac:dyDescent="0.25">
      <c r="A93" s="17">
        <v>20230904</v>
      </c>
      <c r="B93" s="17" t="s">
        <v>32</v>
      </c>
      <c r="C93" s="17">
        <v>3</v>
      </c>
      <c r="D93" s="17" t="s">
        <v>30</v>
      </c>
      <c r="E93" s="17" t="s">
        <v>27</v>
      </c>
      <c r="F93" s="17" t="s">
        <v>21</v>
      </c>
      <c r="G93" s="17">
        <v>10</v>
      </c>
      <c r="J93" s="18">
        <v>0.25</v>
      </c>
      <c r="K93" s="17">
        <v>0.11</v>
      </c>
      <c r="L93" s="17">
        <v>0.46700000000000003</v>
      </c>
      <c r="M93" s="17">
        <v>0.47</v>
      </c>
      <c r="N93" s="17">
        <v>2.7190000000000003</v>
      </c>
      <c r="O93" s="17">
        <v>2.7697999999999996</v>
      </c>
      <c r="P93" s="17">
        <f t="shared" si="80"/>
        <v>2.2520000000000002</v>
      </c>
      <c r="Q93" s="17">
        <f t="shared" si="81"/>
        <v>2.2997999999999994</v>
      </c>
      <c r="R93" s="17">
        <f t="shared" si="82"/>
        <v>2.2759</v>
      </c>
      <c r="S93" s="17">
        <f t="shared" si="83"/>
        <v>1.219152897918778</v>
      </c>
      <c r="T93" s="17">
        <f t="shared" si="84"/>
        <v>417.3160369575977</v>
      </c>
      <c r="U93" s="17">
        <f t="shared" si="85"/>
        <v>175.27273552219103</v>
      </c>
      <c r="V93" s="19">
        <f t="shared" si="86"/>
        <v>1752.7273552219103</v>
      </c>
      <c r="W93" s="17">
        <f t="shared" si="79"/>
        <v>1714.167353407028</v>
      </c>
      <c r="Y93" s="20">
        <f t="shared" si="78"/>
        <v>0.35054547104438205</v>
      </c>
    </row>
    <row r="94" spans="1:25" s="17" customFormat="1" x14ac:dyDescent="0.25">
      <c r="A94" s="17">
        <v>20230904</v>
      </c>
      <c r="B94" s="17" t="s">
        <v>32</v>
      </c>
      <c r="C94" s="17">
        <v>4</v>
      </c>
      <c r="D94" s="17" t="s">
        <v>30</v>
      </c>
      <c r="E94" s="17" t="s">
        <v>27</v>
      </c>
      <c r="F94" s="17" t="s">
        <v>21</v>
      </c>
      <c r="G94" s="17">
        <v>10</v>
      </c>
      <c r="J94" s="18">
        <v>0.25</v>
      </c>
      <c r="K94" s="17">
        <v>0.11</v>
      </c>
      <c r="L94" s="17">
        <v>0.38</v>
      </c>
      <c r="M94" s="17">
        <v>0.39200000000000002</v>
      </c>
      <c r="N94" s="17">
        <v>1.5366</v>
      </c>
      <c r="O94" s="17">
        <v>1.6274000000000002</v>
      </c>
      <c r="P94" s="17">
        <f t="shared" si="80"/>
        <v>1.1566000000000001</v>
      </c>
      <c r="Q94" s="17">
        <f t="shared" si="81"/>
        <v>1.2354000000000003</v>
      </c>
      <c r="R94" s="17">
        <f t="shared" si="82"/>
        <v>1.1960000000000002</v>
      </c>
      <c r="S94" s="17">
        <f t="shared" si="83"/>
        <v>0.64067264199255625</v>
      </c>
      <c r="T94" s="17">
        <f t="shared" si="84"/>
        <v>219.30224535405202</v>
      </c>
      <c r="U94" s="17">
        <f t="shared" si="85"/>
        <v>92.106943048701851</v>
      </c>
      <c r="V94" s="19">
        <f t="shared" si="86"/>
        <v>921.06943048701851</v>
      </c>
      <c r="W94" s="17">
        <f t="shared" si="79"/>
        <v>900.805903016304</v>
      </c>
      <c r="Y94" s="20">
        <f t="shared" si="78"/>
        <v>0.18421388609740369</v>
      </c>
    </row>
    <row r="95" spans="1:25" s="17" customFormat="1" x14ac:dyDescent="0.25">
      <c r="A95" s="17">
        <v>20230904</v>
      </c>
      <c r="B95" s="17" t="s">
        <v>32</v>
      </c>
      <c r="C95" s="17">
        <v>5</v>
      </c>
      <c r="D95" s="17" t="s">
        <v>30</v>
      </c>
      <c r="E95" s="17" t="s">
        <v>27</v>
      </c>
      <c r="F95" s="17" t="s">
        <v>21</v>
      </c>
      <c r="G95" s="17">
        <v>10</v>
      </c>
      <c r="J95" s="18">
        <v>0.25</v>
      </c>
      <c r="K95" s="17">
        <v>0.11</v>
      </c>
      <c r="L95" s="17">
        <v>0.52600000000000002</v>
      </c>
      <c r="M95" s="17">
        <v>0.52700000000000002</v>
      </c>
      <c r="N95" s="17">
        <v>2.9714</v>
      </c>
      <c r="O95" s="17">
        <v>2.9790000000000001</v>
      </c>
      <c r="P95" s="17">
        <f t="shared" si="80"/>
        <v>2.4454000000000002</v>
      </c>
      <c r="Q95" s="17">
        <f t="shared" si="81"/>
        <v>2.452</v>
      </c>
      <c r="R95" s="17">
        <f t="shared" si="82"/>
        <v>2.4487000000000001</v>
      </c>
      <c r="S95" s="17">
        <f t="shared" si="83"/>
        <v>1.3117183097384386</v>
      </c>
      <c r="T95" s="17">
        <f t="shared" si="84"/>
        <v>449.00117742346754</v>
      </c>
      <c r="U95" s="17">
        <f t="shared" si="85"/>
        <v>188.58049451785635</v>
      </c>
      <c r="V95" s="19">
        <f t="shared" si="86"/>
        <v>1885.8049451785635</v>
      </c>
      <c r="W95" s="17">
        <f t="shared" si="79"/>
        <v>1844.317236384635</v>
      </c>
      <c r="Y95" s="20">
        <f t="shared" si="78"/>
        <v>0.37716098903571271</v>
      </c>
    </row>
    <row r="96" spans="1:25" s="17" customFormat="1" x14ac:dyDescent="0.25">
      <c r="A96" s="17">
        <v>20230904</v>
      </c>
      <c r="B96" s="17" t="s">
        <v>32</v>
      </c>
      <c r="C96" s="17">
        <v>6</v>
      </c>
      <c r="D96" s="17" t="s">
        <v>30</v>
      </c>
      <c r="E96" s="17" t="s">
        <v>27</v>
      </c>
      <c r="F96" s="17" t="s">
        <v>21</v>
      </c>
      <c r="G96" s="17">
        <v>10</v>
      </c>
      <c r="J96" s="18">
        <v>0.25</v>
      </c>
      <c r="K96" s="17">
        <v>0.11</v>
      </c>
      <c r="L96" s="17">
        <v>0.57799999999999996</v>
      </c>
      <c r="M96" s="17">
        <v>0.59</v>
      </c>
      <c r="N96" s="17">
        <v>2.9051999999999998</v>
      </c>
      <c r="O96" s="17">
        <v>2.9737999999999998</v>
      </c>
      <c r="P96" s="17">
        <f t="shared" si="80"/>
        <v>2.3271999999999999</v>
      </c>
      <c r="Q96" s="17">
        <f>O96-M96</f>
        <v>2.3837999999999999</v>
      </c>
      <c r="R96" s="17">
        <f t="shared" si="82"/>
        <v>2.3555000000000001</v>
      </c>
      <c r="S96" s="17">
        <f t="shared" si="83"/>
        <v>1.2617929834560753</v>
      </c>
      <c r="T96" s="17">
        <f t="shared" si="84"/>
        <v>431.91173823701456</v>
      </c>
      <c r="U96" s="17">
        <f t="shared" si="85"/>
        <v>181.40293005954612</v>
      </c>
      <c r="V96" s="19">
        <f>U96*G96</f>
        <v>1814.0293005954613</v>
      </c>
      <c r="W96" s="17">
        <f t="shared" si="79"/>
        <v>1774.1206559823609</v>
      </c>
      <c r="Y96" s="20">
        <f t="shared" si="78"/>
        <v>0.36280586011909227</v>
      </c>
    </row>
  </sheetData>
  <autoFilter ref="A1:W96"/>
  <conditionalFormatting sqref="P1 P44:P73 P97:P1048576">
    <cfRule type="cellIs" dxfId="9" priority="6" operator="lessThan">
      <formula>0</formula>
    </cfRule>
  </conditionalFormatting>
  <conditionalFormatting sqref="P2:P43">
    <cfRule type="cellIs" dxfId="8" priority="5" operator="lessThan">
      <formula>0</formula>
    </cfRule>
  </conditionalFormatting>
  <conditionalFormatting sqref="P79:P84">
    <cfRule type="cellIs" dxfId="7" priority="4" operator="lessThan">
      <formula>0</formula>
    </cfRule>
  </conditionalFormatting>
  <conditionalFormatting sqref="P74:P78">
    <cfRule type="cellIs" dxfId="6" priority="3" operator="lessThan">
      <formula>0</formula>
    </cfRule>
  </conditionalFormatting>
  <conditionalFormatting sqref="P85:P89 P91:P95">
    <cfRule type="cellIs" dxfId="5" priority="2" operator="lessThan">
      <formula>0</formula>
    </cfRule>
  </conditionalFormatting>
  <conditionalFormatting sqref="P90 P96">
    <cfRule type="cellIs" dxfId="4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54"/>
  <sheetViews>
    <sheetView zoomScale="130" zoomScaleNormal="130" workbookViewId="0">
      <pane xSplit="6" topLeftCell="G1" activePane="topRight" state="frozen"/>
      <selection pane="topRight" activeCell="C18" sqref="C18"/>
    </sheetView>
  </sheetViews>
  <sheetFormatPr defaultColWidth="8.7109375" defaultRowHeight="15" x14ac:dyDescent="0.25"/>
  <cols>
    <col min="1" max="1" width="11.85546875" style="3" customWidth="1"/>
    <col min="2" max="3" width="8.7109375" style="3"/>
    <col min="4" max="4" width="10" style="3" bestFit="1" customWidth="1"/>
    <col min="5" max="5" width="13.28515625" style="3" bestFit="1" customWidth="1"/>
    <col min="6" max="16384" width="8.7109375" style="3"/>
  </cols>
  <sheetData>
    <row r="1" spans="1:24" s="2" customFormat="1" x14ac:dyDescent="0.25">
      <c r="A1" s="2" t="s">
        <v>14</v>
      </c>
      <c r="B1" s="2" t="s">
        <v>15</v>
      </c>
      <c r="C1" s="4" t="s">
        <v>0</v>
      </c>
      <c r="D1" s="2" t="s">
        <v>28</v>
      </c>
      <c r="E1" s="2" t="s">
        <v>16</v>
      </c>
      <c r="F1" s="2" t="s">
        <v>20</v>
      </c>
      <c r="G1" s="4" t="s">
        <v>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35</v>
      </c>
      <c r="U1" s="2" t="s">
        <v>36</v>
      </c>
      <c r="V1" s="2" t="s">
        <v>33</v>
      </c>
      <c r="W1" s="2" t="s">
        <v>34</v>
      </c>
      <c r="X1" s="2" t="s">
        <v>44</v>
      </c>
    </row>
    <row r="2" spans="1:24" x14ac:dyDescent="0.25">
      <c r="A2" s="3">
        <v>20230607</v>
      </c>
      <c r="B2" s="3" t="s">
        <v>17</v>
      </c>
      <c r="C2" s="3">
        <v>1</v>
      </c>
      <c r="D2" s="3" t="s">
        <v>29</v>
      </c>
      <c r="E2" s="3" t="s">
        <v>27</v>
      </c>
      <c r="F2" s="3" t="s">
        <v>22</v>
      </c>
      <c r="G2" s="5">
        <v>1.8</v>
      </c>
      <c r="H2" s="5">
        <v>10</v>
      </c>
      <c r="I2" s="5">
        <v>0.5</v>
      </c>
      <c r="J2" s="5">
        <v>0.25</v>
      </c>
      <c r="K2" s="5">
        <v>1.4999999999999999E-2</v>
      </c>
      <c r="L2" s="12">
        <v>0.31</v>
      </c>
      <c r="M2" s="12">
        <v>0.32</v>
      </c>
      <c r="N2" s="12">
        <v>0.318</v>
      </c>
      <c r="O2" s="12">
        <v>0.32</v>
      </c>
      <c r="P2" s="3">
        <f>N2-L2</f>
        <v>8.0000000000000071E-3</v>
      </c>
      <c r="Q2" s="3">
        <f>O2-M2</f>
        <v>0</v>
      </c>
      <c r="R2" s="3">
        <f t="shared" ref="R2:R65" si="0">AVERAGE(P2:Q2)</f>
        <v>4.0000000000000036E-3</v>
      </c>
      <c r="S2" s="3">
        <f t="shared" ref="S2:S65" si="1">R2/4.2427*J2/K2</f>
        <v>1.5713264352102841E-2</v>
      </c>
      <c r="T2" s="3">
        <f t="shared" ref="T2:T65" si="2">S2*342.3</f>
        <v>5.3786503877248029</v>
      </c>
      <c r="U2" s="3">
        <f t="shared" ref="U2:U65" si="3">T2*0.42</f>
        <v>2.2590331628444171</v>
      </c>
      <c r="V2" s="14">
        <f>U2*I2</f>
        <v>1.1295165814222086</v>
      </c>
      <c r="W2" s="3">
        <f>U2*0.47</f>
        <v>1.0617455865368759</v>
      </c>
    </row>
    <row r="3" spans="1:24" x14ac:dyDescent="0.25">
      <c r="A3" s="3">
        <v>20230607</v>
      </c>
      <c r="B3" s="3" t="s">
        <v>17</v>
      </c>
      <c r="C3" s="3">
        <v>2</v>
      </c>
      <c r="D3" s="3" t="s">
        <v>29</v>
      </c>
      <c r="E3" s="3" t="s">
        <v>27</v>
      </c>
      <c r="F3" s="3" t="s">
        <v>22</v>
      </c>
      <c r="G3" s="5">
        <v>1.8</v>
      </c>
      <c r="H3" s="5">
        <v>10</v>
      </c>
      <c r="I3" s="5">
        <v>0.5</v>
      </c>
      <c r="J3" s="5">
        <v>0.25</v>
      </c>
      <c r="K3" s="5">
        <v>1.4999999999999999E-2</v>
      </c>
      <c r="L3" s="12">
        <v>0.312</v>
      </c>
      <c r="M3" s="12">
        <v>0.311</v>
      </c>
      <c r="N3" s="12">
        <v>0.316</v>
      </c>
      <c r="O3" s="12">
        <v>0.32</v>
      </c>
      <c r="P3" s="3">
        <f t="shared" ref="P3:P66" si="4">N3-L3</f>
        <v>4.0000000000000036E-3</v>
      </c>
      <c r="Q3" s="3">
        <f t="shared" ref="Q3:Q66" si="5">O3-M3</f>
        <v>9.000000000000008E-3</v>
      </c>
      <c r="R3" s="3">
        <f t="shared" si="0"/>
        <v>6.5000000000000058E-3</v>
      </c>
      <c r="S3" s="3">
        <f t="shared" si="1"/>
        <v>2.553405457216712E-2</v>
      </c>
      <c r="T3" s="3">
        <f t="shared" si="2"/>
        <v>8.7403068800528061</v>
      </c>
      <c r="U3" s="3">
        <f t="shared" si="3"/>
        <v>3.6709288896221786</v>
      </c>
      <c r="V3" s="14">
        <f t="shared" ref="V3:V58" si="6">U3*I3</f>
        <v>1.8354644448110893</v>
      </c>
      <c r="W3" s="3">
        <f t="shared" ref="W3:W58" si="7">U3*0.47</f>
        <v>1.7253365781224239</v>
      </c>
    </row>
    <row r="4" spans="1:24" x14ac:dyDescent="0.25">
      <c r="A4" s="3">
        <v>20230607</v>
      </c>
      <c r="B4" s="3" t="s">
        <v>17</v>
      </c>
      <c r="C4" s="3">
        <v>3</v>
      </c>
      <c r="D4" s="3" t="s">
        <v>29</v>
      </c>
      <c r="E4" s="3" t="s">
        <v>27</v>
      </c>
      <c r="F4" s="3" t="s">
        <v>22</v>
      </c>
      <c r="G4" s="5">
        <v>1.8</v>
      </c>
      <c r="H4" s="5">
        <v>10</v>
      </c>
      <c r="I4" s="5">
        <v>0.5</v>
      </c>
      <c r="J4" s="5">
        <v>0.25</v>
      </c>
      <c r="K4" s="5">
        <v>1.4999999999999999E-2</v>
      </c>
      <c r="L4" s="12">
        <v>0.313</v>
      </c>
      <c r="M4" s="12">
        <v>0.311</v>
      </c>
      <c r="N4" s="12">
        <v>0.33300000000000002</v>
      </c>
      <c r="O4" s="12">
        <v>0.33</v>
      </c>
      <c r="P4" s="3">
        <f t="shared" si="4"/>
        <v>2.0000000000000018E-2</v>
      </c>
      <c r="Q4" s="3">
        <f t="shared" si="5"/>
        <v>1.9000000000000017E-2</v>
      </c>
      <c r="R4" s="3">
        <f t="shared" si="0"/>
        <v>1.9500000000000017E-2</v>
      </c>
      <c r="S4" s="3">
        <f t="shared" si="1"/>
        <v>7.6602163716501345E-2</v>
      </c>
      <c r="T4" s="3">
        <f t="shared" si="2"/>
        <v>26.220920640158411</v>
      </c>
      <c r="U4" s="3">
        <f t="shared" si="3"/>
        <v>11.012786668866532</v>
      </c>
      <c r="V4" s="14">
        <f t="shared" si="6"/>
        <v>5.5063933344332661</v>
      </c>
      <c r="W4" s="3">
        <f t="shared" si="7"/>
        <v>5.1760097343672697</v>
      </c>
    </row>
    <row r="5" spans="1:24" x14ac:dyDescent="0.25">
      <c r="A5" s="3">
        <v>20230607</v>
      </c>
      <c r="B5" s="3" t="s">
        <v>17</v>
      </c>
      <c r="C5" s="3">
        <v>4</v>
      </c>
      <c r="D5" s="3" t="s">
        <v>29</v>
      </c>
      <c r="E5" s="3" t="s">
        <v>27</v>
      </c>
      <c r="F5" s="3" t="s">
        <v>22</v>
      </c>
      <c r="G5" s="5">
        <v>1.8</v>
      </c>
      <c r="H5" s="5">
        <v>10</v>
      </c>
      <c r="I5" s="5">
        <v>0.5</v>
      </c>
      <c r="J5" s="5">
        <v>0.25</v>
      </c>
      <c r="K5" s="5">
        <v>1.4999999999999999E-2</v>
      </c>
      <c r="L5" s="12">
        <v>0.33500000000000002</v>
      </c>
      <c r="M5" s="12">
        <v>0.34</v>
      </c>
      <c r="N5" s="12">
        <v>0.33400000000000002</v>
      </c>
      <c r="O5" s="12">
        <v>0.33700000000000002</v>
      </c>
      <c r="P5" s="3">
        <f t="shared" si="4"/>
        <v>-1.0000000000000009E-3</v>
      </c>
      <c r="Q5" s="3">
        <f t="shared" si="5"/>
        <v>-3.0000000000000027E-3</v>
      </c>
      <c r="R5" s="3">
        <f t="shared" si="0"/>
        <v>-2.0000000000000018E-3</v>
      </c>
      <c r="S5" s="3">
        <f t="shared" si="1"/>
        <v>-7.8566321760514205E-3</v>
      </c>
      <c r="T5" s="3">
        <f t="shared" si="2"/>
        <v>-2.6893251938624014</v>
      </c>
      <c r="U5" s="3">
        <f t="shared" si="3"/>
        <v>-1.1295165814222086</v>
      </c>
      <c r="V5" s="14">
        <f t="shared" si="6"/>
        <v>-0.56475829071110428</v>
      </c>
      <c r="W5" s="3">
        <f t="shared" si="7"/>
        <v>-0.53087279326843795</v>
      </c>
    </row>
    <row r="6" spans="1:24" x14ac:dyDescent="0.25">
      <c r="A6" s="3">
        <v>20230607</v>
      </c>
      <c r="B6" s="3" t="s">
        <v>17</v>
      </c>
      <c r="C6" s="3">
        <v>5</v>
      </c>
      <c r="D6" s="3" t="s">
        <v>29</v>
      </c>
      <c r="E6" s="3" t="s">
        <v>27</v>
      </c>
      <c r="F6" s="3" t="s">
        <v>22</v>
      </c>
      <c r="G6" s="5">
        <v>1.8</v>
      </c>
      <c r="H6" s="5">
        <v>10</v>
      </c>
      <c r="I6" s="5">
        <v>0.5</v>
      </c>
      <c r="J6" s="5">
        <v>0.25</v>
      </c>
      <c r="K6" s="5">
        <v>1.4999999999999999E-2</v>
      </c>
      <c r="L6" s="12">
        <v>0.34899999999999998</v>
      </c>
      <c r="M6" s="12">
        <v>0.35099999999999998</v>
      </c>
      <c r="N6" s="12">
        <v>0.34899999999999998</v>
      </c>
      <c r="O6" s="12">
        <v>0.35799999999999998</v>
      </c>
      <c r="P6" s="3">
        <f t="shared" si="4"/>
        <v>0</v>
      </c>
      <c r="Q6" s="3">
        <f t="shared" si="5"/>
        <v>7.0000000000000062E-3</v>
      </c>
      <c r="R6" s="3">
        <f t="shared" si="0"/>
        <v>3.5000000000000031E-3</v>
      </c>
      <c r="S6" s="3">
        <f t="shared" si="1"/>
        <v>1.3749106308089986E-2</v>
      </c>
      <c r="T6" s="3">
        <f t="shared" si="2"/>
        <v>4.7063190892592024</v>
      </c>
      <c r="U6" s="3">
        <f t="shared" si="3"/>
        <v>1.9766540174888649</v>
      </c>
      <c r="V6" s="14">
        <f t="shared" si="6"/>
        <v>0.98832700874443247</v>
      </c>
      <c r="W6" s="3">
        <f t="shared" si="7"/>
        <v>0.92902738821976649</v>
      </c>
    </row>
    <row r="7" spans="1:24" s="22" customFormat="1" x14ac:dyDescent="0.25">
      <c r="A7" s="22">
        <v>20230607</v>
      </c>
      <c r="B7" s="22" t="s">
        <v>17</v>
      </c>
      <c r="C7" s="22">
        <v>1</v>
      </c>
      <c r="D7" s="22" t="s">
        <v>30</v>
      </c>
      <c r="E7" s="22" t="s">
        <v>27</v>
      </c>
      <c r="F7" s="22" t="s">
        <v>22</v>
      </c>
      <c r="G7" s="23">
        <v>10</v>
      </c>
      <c r="J7" s="23">
        <v>0.25</v>
      </c>
      <c r="K7" s="23">
        <v>0.11</v>
      </c>
      <c r="L7" s="24">
        <v>0.32</v>
      </c>
      <c r="M7" s="24">
        <v>0.315</v>
      </c>
      <c r="N7" s="24">
        <v>0.498</v>
      </c>
      <c r="O7" s="24">
        <v>0.438</v>
      </c>
      <c r="P7" s="22">
        <f t="shared" si="4"/>
        <v>0.17799999999999999</v>
      </c>
      <c r="Q7" s="22">
        <f t="shared" si="5"/>
        <v>0.123</v>
      </c>
      <c r="R7" s="22">
        <f t="shared" si="0"/>
        <v>0.15049999999999999</v>
      </c>
      <c r="S7" s="22">
        <f t="shared" si="1"/>
        <v>8.061975971561848E-2</v>
      </c>
      <c r="T7" s="22">
        <f t="shared" si="2"/>
        <v>27.596143750656207</v>
      </c>
      <c r="U7" s="22">
        <f t="shared" si="3"/>
        <v>11.590380375275606</v>
      </c>
      <c r="V7" s="25">
        <f>U7*G7</f>
        <v>115.90380375275606</v>
      </c>
      <c r="W7" s="22">
        <f>U7*9.78</f>
        <v>113.35392007019541</v>
      </c>
      <c r="X7" s="26">
        <f>V7/1000</f>
        <v>0.11590380375275607</v>
      </c>
    </row>
    <row r="8" spans="1:24" s="22" customFormat="1" x14ac:dyDescent="0.25">
      <c r="A8" s="22">
        <v>20230607</v>
      </c>
      <c r="B8" s="22" t="s">
        <v>17</v>
      </c>
      <c r="C8" s="22">
        <v>2</v>
      </c>
      <c r="D8" s="22" t="s">
        <v>30</v>
      </c>
      <c r="E8" s="22" t="s">
        <v>27</v>
      </c>
      <c r="F8" s="22" t="s">
        <v>22</v>
      </c>
      <c r="G8" s="23">
        <v>10</v>
      </c>
      <c r="J8" s="23">
        <v>0.25</v>
      </c>
      <c r="K8" s="23">
        <v>0.11</v>
      </c>
      <c r="L8" s="24">
        <v>0.28299999999999997</v>
      </c>
      <c r="M8" s="24">
        <v>0.28499999999999998</v>
      </c>
      <c r="N8" s="24">
        <v>0.43099999999999999</v>
      </c>
      <c r="O8" s="24">
        <v>0.441</v>
      </c>
      <c r="P8" s="22">
        <f t="shared" si="4"/>
        <v>0.14800000000000002</v>
      </c>
      <c r="Q8" s="22">
        <f t="shared" si="5"/>
        <v>0.15600000000000003</v>
      </c>
      <c r="R8" s="22">
        <f t="shared" si="0"/>
        <v>0.15200000000000002</v>
      </c>
      <c r="S8" s="22">
        <f t="shared" si="1"/>
        <v>8.1423278915441932E-2</v>
      </c>
      <c r="T8" s="22">
        <f t="shared" si="2"/>
        <v>27.871188372755775</v>
      </c>
      <c r="U8" s="22">
        <f t="shared" si="3"/>
        <v>11.705899116557426</v>
      </c>
      <c r="V8" s="25">
        <f t="shared" ref="V8:V16" si="8">U8*G8</f>
        <v>117.05899116557426</v>
      </c>
      <c r="W8" s="22">
        <f t="shared" ref="W8:W16" si="9">U8*9.78</f>
        <v>114.48369335993162</v>
      </c>
      <c r="X8" s="26">
        <f t="shared" ref="X8:X16" si="10">V8/1000</f>
        <v>0.11705899116557425</v>
      </c>
    </row>
    <row r="9" spans="1:24" s="22" customFormat="1" x14ac:dyDescent="0.25">
      <c r="A9" s="22">
        <v>20230607</v>
      </c>
      <c r="B9" s="22" t="s">
        <v>17</v>
      </c>
      <c r="C9" s="22">
        <v>3</v>
      </c>
      <c r="D9" s="22" t="s">
        <v>30</v>
      </c>
      <c r="E9" s="22" t="s">
        <v>27</v>
      </c>
      <c r="F9" s="22" t="s">
        <v>22</v>
      </c>
      <c r="G9" s="23">
        <v>10</v>
      </c>
      <c r="J9" s="23">
        <v>0.25</v>
      </c>
      <c r="K9" s="23">
        <v>0.11</v>
      </c>
      <c r="L9" s="24">
        <v>0.28599999999999998</v>
      </c>
      <c r="M9" s="24">
        <v>0.29699999999999999</v>
      </c>
      <c r="N9" s="24">
        <v>0.442</v>
      </c>
      <c r="O9" s="24">
        <v>0.44800000000000001</v>
      </c>
      <c r="P9" s="22">
        <f t="shared" si="4"/>
        <v>0.15600000000000003</v>
      </c>
      <c r="Q9" s="22">
        <f t="shared" si="5"/>
        <v>0.15100000000000002</v>
      </c>
      <c r="R9" s="22">
        <f t="shared" si="0"/>
        <v>0.15350000000000003</v>
      </c>
      <c r="S9" s="22">
        <f t="shared" si="1"/>
        <v>8.222679811526537E-2</v>
      </c>
      <c r="T9" s="22">
        <f t="shared" si="2"/>
        <v>28.146232994855339</v>
      </c>
      <c r="U9" s="22">
        <f t="shared" si="3"/>
        <v>11.821417857839242</v>
      </c>
      <c r="V9" s="25">
        <f t="shared" si="8"/>
        <v>118.21417857839242</v>
      </c>
      <c r="W9" s="22">
        <f t="shared" si="9"/>
        <v>115.61346664966777</v>
      </c>
      <c r="X9" s="26">
        <f t="shared" si="10"/>
        <v>0.11821417857839242</v>
      </c>
    </row>
    <row r="10" spans="1:24" s="22" customFormat="1" x14ac:dyDescent="0.25">
      <c r="A10" s="22">
        <v>20230607</v>
      </c>
      <c r="B10" s="22" t="s">
        <v>17</v>
      </c>
      <c r="C10" s="22">
        <v>4</v>
      </c>
      <c r="D10" s="22" t="s">
        <v>30</v>
      </c>
      <c r="E10" s="22" t="s">
        <v>27</v>
      </c>
      <c r="F10" s="22" t="s">
        <v>22</v>
      </c>
      <c r="G10" s="23">
        <v>10</v>
      </c>
      <c r="J10" s="23">
        <v>0.25</v>
      </c>
      <c r="K10" s="23">
        <v>0.11</v>
      </c>
      <c r="L10" s="24">
        <v>0.318</v>
      </c>
      <c r="M10" s="24">
        <v>0.32500000000000001</v>
      </c>
      <c r="N10" s="24">
        <v>0.55200000000000005</v>
      </c>
      <c r="O10" s="24">
        <v>0.58899999999999997</v>
      </c>
      <c r="P10" s="22">
        <f t="shared" si="4"/>
        <v>0.23400000000000004</v>
      </c>
      <c r="Q10" s="22">
        <f t="shared" si="5"/>
        <v>0.26399999999999996</v>
      </c>
      <c r="R10" s="22">
        <f t="shared" si="0"/>
        <v>0.249</v>
      </c>
      <c r="S10" s="22">
        <f t="shared" si="1"/>
        <v>0.13338418717069106</v>
      </c>
      <c r="T10" s="22">
        <f t="shared" si="2"/>
        <v>45.65740726852755</v>
      </c>
      <c r="U10" s="22">
        <f t="shared" si="3"/>
        <v>19.176111052781572</v>
      </c>
      <c r="V10" s="25">
        <f t="shared" si="8"/>
        <v>191.76111052781573</v>
      </c>
      <c r="W10" s="22">
        <f t="shared" si="9"/>
        <v>187.54236609620375</v>
      </c>
      <c r="X10" s="26">
        <f t="shared" si="10"/>
        <v>0.19176111052781572</v>
      </c>
    </row>
    <row r="11" spans="1:24" s="22" customFormat="1" x14ac:dyDescent="0.25">
      <c r="A11" s="22">
        <v>20230607</v>
      </c>
      <c r="B11" s="22" t="s">
        <v>17</v>
      </c>
      <c r="C11" s="22">
        <v>5</v>
      </c>
      <c r="D11" s="22" t="s">
        <v>30</v>
      </c>
      <c r="E11" s="22" t="s">
        <v>27</v>
      </c>
      <c r="F11" s="22" t="s">
        <v>22</v>
      </c>
      <c r="G11" s="23">
        <v>10</v>
      </c>
      <c r="J11" s="23">
        <v>0.25</v>
      </c>
      <c r="K11" s="23">
        <v>0.11</v>
      </c>
      <c r="L11" s="24">
        <v>0.29799999999999999</v>
      </c>
      <c r="M11" s="24">
        <v>0.29699999999999999</v>
      </c>
      <c r="N11" s="24">
        <v>0.501</v>
      </c>
      <c r="O11" s="24">
        <v>0.48299999999999998</v>
      </c>
      <c r="P11" s="22">
        <f t="shared" si="4"/>
        <v>0.20300000000000001</v>
      </c>
      <c r="Q11" s="22">
        <f t="shared" si="5"/>
        <v>0.186</v>
      </c>
      <c r="R11" s="22">
        <f t="shared" si="0"/>
        <v>0.19450000000000001</v>
      </c>
      <c r="S11" s="22">
        <f t="shared" si="1"/>
        <v>0.10418965624377273</v>
      </c>
      <c r="T11" s="22">
        <f t="shared" si="2"/>
        <v>35.664119332243409</v>
      </c>
      <c r="U11" s="22">
        <f t="shared" si="3"/>
        <v>14.97893011954223</v>
      </c>
      <c r="V11" s="25">
        <f t="shared" si="8"/>
        <v>149.7893011954223</v>
      </c>
      <c r="W11" s="22">
        <f t="shared" si="9"/>
        <v>146.49393656912301</v>
      </c>
      <c r="X11" s="26">
        <f t="shared" si="10"/>
        <v>0.1497893011954223</v>
      </c>
    </row>
    <row r="12" spans="1:24" s="22" customFormat="1" x14ac:dyDescent="0.25">
      <c r="A12" s="22">
        <v>20230607</v>
      </c>
      <c r="B12" s="22" t="s">
        <v>17</v>
      </c>
      <c r="C12" s="22">
        <v>1</v>
      </c>
      <c r="D12" s="22" t="s">
        <v>31</v>
      </c>
      <c r="E12" s="22" t="s">
        <v>27</v>
      </c>
      <c r="F12" s="22" t="s">
        <v>22</v>
      </c>
      <c r="G12" s="23">
        <v>10</v>
      </c>
      <c r="J12" s="23">
        <v>0.25</v>
      </c>
      <c r="K12" s="23">
        <v>0.11</v>
      </c>
      <c r="L12" s="24">
        <v>0.29499999999999998</v>
      </c>
      <c r="M12" s="24">
        <v>0.29299999999999998</v>
      </c>
      <c r="N12" s="24">
        <v>0.45400000000000001</v>
      </c>
      <c r="O12" s="24">
        <v>0.45</v>
      </c>
      <c r="P12" s="22">
        <f t="shared" si="4"/>
        <v>0.15900000000000003</v>
      </c>
      <c r="Q12" s="22">
        <f t="shared" si="5"/>
        <v>0.15700000000000003</v>
      </c>
      <c r="R12" s="22">
        <f t="shared" si="0"/>
        <v>0.15800000000000003</v>
      </c>
      <c r="S12" s="22">
        <f t="shared" si="1"/>
        <v>8.4637355714735699E-2</v>
      </c>
      <c r="T12" s="22">
        <f t="shared" si="2"/>
        <v>28.971366861154031</v>
      </c>
      <c r="U12" s="22">
        <f t="shared" si="3"/>
        <v>12.167974081684692</v>
      </c>
      <c r="V12" s="25">
        <f t="shared" si="8"/>
        <v>121.67974081684692</v>
      </c>
      <c r="W12" s="22">
        <f t="shared" si="9"/>
        <v>119.00278651887628</v>
      </c>
      <c r="X12" s="26">
        <f t="shared" si="10"/>
        <v>0.12167974081684692</v>
      </c>
    </row>
    <row r="13" spans="1:24" s="22" customFormat="1" x14ac:dyDescent="0.25">
      <c r="A13" s="22">
        <v>20230607</v>
      </c>
      <c r="B13" s="22" t="s">
        <v>17</v>
      </c>
      <c r="C13" s="22">
        <v>2</v>
      </c>
      <c r="D13" s="22" t="s">
        <v>31</v>
      </c>
      <c r="E13" s="22" t="s">
        <v>27</v>
      </c>
      <c r="F13" s="22" t="s">
        <v>22</v>
      </c>
      <c r="G13" s="23">
        <v>10</v>
      </c>
      <c r="J13" s="23">
        <v>0.25</v>
      </c>
      <c r="K13" s="23">
        <v>0.11</v>
      </c>
      <c r="L13" s="24">
        <v>0.28799999999999998</v>
      </c>
      <c r="M13" s="24">
        <v>0.28999999999999998</v>
      </c>
      <c r="N13" s="24">
        <v>0.40799999999999997</v>
      </c>
      <c r="O13" s="24">
        <v>0.41799999999999998</v>
      </c>
      <c r="P13" s="22">
        <f t="shared" si="4"/>
        <v>0.12</v>
      </c>
      <c r="Q13" s="22">
        <f t="shared" si="5"/>
        <v>0.128</v>
      </c>
      <c r="R13" s="22">
        <f t="shared" si="0"/>
        <v>0.124</v>
      </c>
      <c r="S13" s="22">
        <f t="shared" si="1"/>
        <v>6.6424253852071041E-2</v>
      </c>
      <c r="T13" s="22">
        <f t="shared" si="2"/>
        <v>22.737022093563919</v>
      </c>
      <c r="U13" s="22">
        <f t="shared" si="3"/>
        <v>9.5495492792968459</v>
      </c>
      <c r="V13" s="25">
        <f t="shared" si="8"/>
        <v>95.495492792968463</v>
      </c>
      <c r="W13" s="22">
        <f t="shared" si="9"/>
        <v>93.394591951523154</v>
      </c>
      <c r="X13" s="26">
        <f t="shared" si="10"/>
        <v>9.5495492792968456E-2</v>
      </c>
    </row>
    <row r="14" spans="1:24" s="22" customFormat="1" x14ac:dyDescent="0.25">
      <c r="A14" s="22">
        <v>20230607</v>
      </c>
      <c r="B14" s="22" t="s">
        <v>17</v>
      </c>
      <c r="C14" s="22">
        <v>3</v>
      </c>
      <c r="D14" s="22" t="s">
        <v>31</v>
      </c>
      <c r="E14" s="22" t="s">
        <v>27</v>
      </c>
      <c r="F14" s="22" t="s">
        <v>22</v>
      </c>
      <c r="G14" s="23">
        <v>10</v>
      </c>
      <c r="J14" s="23">
        <v>0.25</v>
      </c>
      <c r="K14" s="23">
        <v>0.11</v>
      </c>
      <c r="L14" s="24">
        <v>0.30599999999999999</v>
      </c>
      <c r="M14" s="24">
        <v>0.308</v>
      </c>
      <c r="N14" s="24">
        <v>0.55500000000000005</v>
      </c>
      <c r="O14" s="24">
        <v>0.54</v>
      </c>
      <c r="P14" s="22">
        <f t="shared" si="4"/>
        <v>0.24900000000000005</v>
      </c>
      <c r="Q14" s="22">
        <f t="shared" si="5"/>
        <v>0.23200000000000004</v>
      </c>
      <c r="R14" s="22">
        <f t="shared" si="0"/>
        <v>0.24050000000000005</v>
      </c>
      <c r="S14" s="22">
        <f t="shared" si="1"/>
        <v>0.12883091170502489</v>
      </c>
      <c r="T14" s="22">
        <f t="shared" si="2"/>
        <v>44.098821076630024</v>
      </c>
      <c r="U14" s="22">
        <f t="shared" si="3"/>
        <v>18.521504852184609</v>
      </c>
      <c r="V14" s="25">
        <f t="shared" si="8"/>
        <v>185.21504852184609</v>
      </c>
      <c r="W14" s="22">
        <f t="shared" si="9"/>
        <v>181.14031745436546</v>
      </c>
      <c r="X14" s="26">
        <f t="shared" si="10"/>
        <v>0.18521504852184609</v>
      </c>
    </row>
    <row r="15" spans="1:24" s="22" customFormat="1" x14ac:dyDescent="0.25">
      <c r="A15" s="22">
        <v>20230607</v>
      </c>
      <c r="B15" s="22" t="s">
        <v>17</v>
      </c>
      <c r="C15" s="22">
        <v>4</v>
      </c>
      <c r="D15" s="22" t="s">
        <v>31</v>
      </c>
      <c r="E15" s="22" t="s">
        <v>27</v>
      </c>
      <c r="F15" s="22" t="s">
        <v>22</v>
      </c>
      <c r="G15" s="23">
        <v>10</v>
      </c>
      <c r="J15" s="23">
        <v>0.25</v>
      </c>
      <c r="K15" s="23">
        <v>0.11</v>
      </c>
      <c r="L15" s="24">
        <v>0.32500000000000001</v>
      </c>
      <c r="M15" s="24">
        <v>0.32100000000000001</v>
      </c>
      <c r="N15" s="24">
        <v>0.55200000000000005</v>
      </c>
      <c r="O15" s="24">
        <v>0.502</v>
      </c>
      <c r="P15" s="22">
        <f t="shared" si="4"/>
        <v>0.22700000000000004</v>
      </c>
      <c r="Q15" s="22">
        <f t="shared" si="5"/>
        <v>0.18099999999999999</v>
      </c>
      <c r="R15" s="22">
        <f t="shared" si="0"/>
        <v>0.20400000000000001</v>
      </c>
      <c r="S15" s="22">
        <f t="shared" si="1"/>
        <v>0.10927861117598785</v>
      </c>
      <c r="T15" s="22">
        <f t="shared" si="2"/>
        <v>37.406068605540639</v>
      </c>
      <c r="U15" s="22">
        <f t="shared" si="3"/>
        <v>15.710548814327067</v>
      </c>
      <c r="V15" s="25">
        <f t="shared" si="8"/>
        <v>157.10548814327066</v>
      </c>
      <c r="W15" s="22">
        <f t="shared" si="9"/>
        <v>153.64916740411871</v>
      </c>
      <c r="X15" s="26">
        <f t="shared" si="10"/>
        <v>0.15710548814327066</v>
      </c>
    </row>
    <row r="16" spans="1:24" s="22" customFormat="1" x14ac:dyDescent="0.25">
      <c r="A16" s="22">
        <v>20230607</v>
      </c>
      <c r="B16" s="22" t="s">
        <v>17</v>
      </c>
      <c r="C16" s="22">
        <v>5</v>
      </c>
      <c r="D16" s="22" t="s">
        <v>31</v>
      </c>
      <c r="E16" s="22" t="s">
        <v>27</v>
      </c>
      <c r="F16" s="22" t="s">
        <v>22</v>
      </c>
      <c r="G16" s="22">
        <v>10</v>
      </c>
      <c r="J16" s="23">
        <v>0.25</v>
      </c>
      <c r="K16" s="23">
        <v>0.11</v>
      </c>
      <c r="L16" s="27">
        <v>0.50800000000000001</v>
      </c>
      <c r="M16" s="27">
        <v>0.49099999999999999</v>
      </c>
      <c r="N16" s="27">
        <v>1.9498000000000002</v>
      </c>
      <c r="O16" s="27">
        <v>1.9196000000000002</v>
      </c>
      <c r="P16" s="22">
        <f t="shared" si="4"/>
        <v>1.4418000000000002</v>
      </c>
      <c r="Q16" s="22">
        <f t="shared" si="5"/>
        <v>1.4286000000000003</v>
      </c>
      <c r="R16" s="22">
        <f t="shared" si="0"/>
        <v>1.4352000000000003</v>
      </c>
      <c r="S16" s="22">
        <f t="shared" si="1"/>
        <v>0.76880717039106761</v>
      </c>
      <c r="T16" s="22">
        <f t="shared" si="2"/>
        <v>263.16269442486242</v>
      </c>
      <c r="U16" s="22">
        <f t="shared" si="3"/>
        <v>110.52833165844221</v>
      </c>
      <c r="V16" s="25">
        <f t="shared" si="8"/>
        <v>1105.2833165844222</v>
      </c>
      <c r="W16" s="22">
        <f t="shared" si="9"/>
        <v>1080.9670836195648</v>
      </c>
      <c r="X16" s="26">
        <f t="shared" si="10"/>
        <v>1.1052833165844222</v>
      </c>
    </row>
    <row r="17" spans="1:24" x14ac:dyDescent="0.25">
      <c r="A17" s="3">
        <v>20230608</v>
      </c>
      <c r="B17" s="3" t="s">
        <v>17</v>
      </c>
      <c r="C17" s="3">
        <v>1</v>
      </c>
      <c r="D17" s="3" t="s">
        <v>29</v>
      </c>
      <c r="E17" s="3" t="s">
        <v>27</v>
      </c>
      <c r="F17" s="3" t="s">
        <v>23</v>
      </c>
      <c r="G17" s="5">
        <v>1.8</v>
      </c>
      <c r="H17" s="5">
        <v>10</v>
      </c>
      <c r="I17" s="5">
        <v>0.5</v>
      </c>
      <c r="J17" s="5">
        <v>0.25</v>
      </c>
      <c r="K17" s="5">
        <v>1.4999999999999999E-2</v>
      </c>
      <c r="L17" s="12">
        <v>0.35399999999999998</v>
      </c>
      <c r="M17" s="12">
        <v>0.34699999999999998</v>
      </c>
      <c r="N17" s="12">
        <v>0.38400000000000001</v>
      </c>
      <c r="O17" s="12">
        <v>0.379</v>
      </c>
      <c r="P17" s="3">
        <f t="shared" si="4"/>
        <v>3.0000000000000027E-2</v>
      </c>
      <c r="Q17" s="3">
        <f t="shared" si="5"/>
        <v>3.2000000000000028E-2</v>
      </c>
      <c r="R17" s="3">
        <f t="shared" si="0"/>
        <v>3.1000000000000028E-2</v>
      </c>
      <c r="S17" s="3">
        <f t="shared" si="1"/>
        <v>0.12177779872879702</v>
      </c>
      <c r="T17" s="3">
        <f t="shared" si="2"/>
        <v>41.684540504867222</v>
      </c>
      <c r="U17" s="3">
        <f t="shared" si="3"/>
        <v>17.507507012044233</v>
      </c>
      <c r="V17" s="14">
        <f t="shared" si="6"/>
        <v>8.7537535060221163</v>
      </c>
      <c r="W17" s="3">
        <f t="shared" si="7"/>
        <v>8.228528295660789</v>
      </c>
      <c r="X17" s="21"/>
    </row>
    <row r="18" spans="1:24" x14ac:dyDescent="0.25">
      <c r="A18" s="3">
        <v>20230608</v>
      </c>
      <c r="B18" s="3" t="s">
        <v>17</v>
      </c>
      <c r="C18" s="3">
        <v>2</v>
      </c>
      <c r="D18" s="3" t="s">
        <v>29</v>
      </c>
      <c r="E18" s="3" t="s">
        <v>27</v>
      </c>
      <c r="F18" s="3" t="s">
        <v>23</v>
      </c>
      <c r="G18" s="5">
        <v>1.8</v>
      </c>
      <c r="H18" s="5">
        <v>10</v>
      </c>
      <c r="I18" s="5">
        <v>0.5</v>
      </c>
      <c r="J18" s="5">
        <v>0.25</v>
      </c>
      <c r="K18" s="5">
        <v>1.4999999999999999E-2</v>
      </c>
      <c r="L18" s="12">
        <v>0.317</v>
      </c>
      <c r="M18" s="12">
        <v>0.32100000000000001</v>
      </c>
      <c r="N18" s="12">
        <v>0.378</v>
      </c>
      <c r="O18" s="12">
        <v>0.38600000000000001</v>
      </c>
      <c r="P18" s="3">
        <f t="shared" si="4"/>
        <v>6.0999999999999999E-2</v>
      </c>
      <c r="Q18" s="3">
        <f t="shared" si="5"/>
        <v>6.5000000000000002E-2</v>
      </c>
      <c r="R18" s="3">
        <f t="shared" si="0"/>
        <v>6.3E-2</v>
      </c>
      <c r="S18" s="3">
        <f t="shared" si="1"/>
        <v>0.24748391354561952</v>
      </c>
      <c r="T18" s="3">
        <f t="shared" si="2"/>
        <v>84.71374360666556</v>
      </c>
      <c r="U18" s="3">
        <f t="shared" si="3"/>
        <v>35.579772314799534</v>
      </c>
      <c r="V18" s="14">
        <f t="shared" si="6"/>
        <v>17.789886157399767</v>
      </c>
      <c r="W18" s="3">
        <f t="shared" si="7"/>
        <v>16.722492987955778</v>
      </c>
      <c r="X18" s="21"/>
    </row>
    <row r="19" spans="1:24" x14ac:dyDescent="0.25">
      <c r="A19" s="3">
        <v>20230608</v>
      </c>
      <c r="B19" s="3" t="s">
        <v>17</v>
      </c>
      <c r="C19" s="3">
        <v>3</v>
      </c>
      <c r="D19" s="3" t="s">
        <v>29</v>
      </c>
      <c r="E19" s="3" t="s">
        <v>27</v>
      </c>
      <c r="F19" s="3" t="s">
        <v>23</v>
      </c>
      <c r="G19" s="5">
        <v>1.8</v>
      </c>
      <c r="H19" s="5">
        <v>10</v>
      </c>
      <c r="I19" s="5">
        <v>0.5</v>
      </c>
      <c r="J19" s="5">
        <v>0.25</v>
      </c>
      <c r="K19" s="5">
        <v>1.4999999999999999E-2</v>
      </c>
      <c r="L19" s="12">
        <v>0.33400000000000002</v>
      </c>
      <c r="M19" s="12">
        <v>0.32100000000000001</v>
      </c>
      <c r="N19" s="12">
        <v>0.34699999999999998</v>
      </c>
      <c r="O19" s="12">
        <v>0.34</v>
      </c>
      <c r="P19" s="3">
        <f t="shared" si="4"/>
        <v>1.2999999999999956E-2</v>
      </c>
      <c r="Q19" s="3">
        <f t="shared" si="5"/>
        <v>1.9000000000000017E-2</v>
      </c>
      <c r="R19" s="3">
        <f t="shared" si="0"/>
        <v>1.5999999999999986E-2</v>
      </c>
      <c r="S19" s="3">
        <f t="shared" si="1"/>
        <v>6.2853057408411253E-2</v>
      </c>
      <c r="T19" s="3">
        <f t="shared" si="2"/>
        <v>21.514601550899172</v>
      </c>
      <c r="U19" s="3">
        <f t="shared" si="3"/>
        <v>9.0361326513776525</v>
      </c>
      <c r="V19" s="14">
        <f t="shared" si="6"/>
        <v>4.5180663256888263</v>
      </c>
      <c r="W19" s="3">
        <f t="shared" si="7"/>
        <v>4.2469823461474965</v>
      </c>
      <c r="X19" s="21"/>
    </row>
    <row r="20" spans="1:24" x14ac:dyDescent="0.25">
      <c r="A20" s="3">
        <v>20230608</v>
      </c>
      <c r="B20" s="3" t="s">
        <v>17</v>
      </c>
      <c r="C20" s="3">
        <v>4</v>
      </c>
      <c r="D20" s="3" t="s">
        <v>29</v>
      </c>
      <c r="E20" s="3" t="s">
        <v>27</v>
      </c>
      <c r="F20" s="3" t="s">
        <v>23</v>
      </c>
      <c r="G20" s="5">
        <v>1.8</v>
      </c>
      <c r="H20" s="5">
        <v>10</v>
      </c>
      <c r="I20" s="5">
        <v>0.5</v>
      </c>
      <c r="J20" s="5">
        <v>0.25</v>
      </c>
      <c r="K20" s="5">
        <v>1.4999999999999999E-2</v>
      </c>
      <c r="L20" s="12">
        <v>0.32400000000000001</v>
      </c>
      <c r="M20" s="12">
        <v>0.33600000000000002</v>
      </c>
      <c r="N20" s="12">
        <v>0.35299999999999998</v>
      </c>
      <c r="O20" s="12">
        <v>0.36199999999999999</v>
      </c>
      <c r="P20" s="3">
        <f t="shared" si="4"/>
        <v>2.899999999999997E-2</v>
      </c>
      <c r="Q20" s="3">
        <f t="shared" si="5"/>
        <v>2.5999999999999968E-2</v>
      </c>
      <c r="R20" s="3">
        <f t="shared" si="0"/>
        <v>2.7499999999999969E-2</v>
      </c>
      <c r="S20" s="3">
        <f t="shared" si="1"/>
        <v>0.10802869242070681</v>
      </c>
      <c r="T20" s="3">
        <f t="shared" si="2"/>
        <v>36.978221415607941</v>
      </c>
      <c r="U20" s="3">
        <f t="shared" si="3"/>
        <v>15.530852994555335</v>
      </c>
      <c r="V20" s="14">
        <f t="shared" si="6"/>
        <v>7.7654264972776677</v>
      </c>
      <c r="W20" s="3">
        <f t="shared" si="7"/>
        <v>7.2995009074410069</v>
      </c>
      <c r="X20" s="21"/>
    </row>
    <row r="21" spans="1:24" x14ac:dyDescent="0.25">
      <c r="A21" s="3">
        <v>20230608</v>
      </c>
      <c r="B21" s="3" t="s">
        <v>17</v>
      </c>
      <c r="C21" s="3">
        <v>5</v>
      </c>
      <c r="D21" s="3" t="s">
        <v>29</v>
      </c>
      <c r="E21" s="3" t="s">
        <v>27</v>
      </c>
      <c r="F21" s="3" t="s">
        <v>23</v>
      </c>
      <c r="G21" s="5">
        <v>1.8</v>
      </c>
      <c r="H21" s="5">
        <v>10</v>
      </c>
      <c r="I21" s="5">
        <v>0.5</v>
      </c>
      <c r="J21" s="5">
        <v>0.25</v>
      </c>
      <c r="K21" s="5">
        <v>1.4999999999999999E-2</v>
      </c>
      <c r="L21" s="12">
        <v>0.316</v>
      </c>
      <c r="M21" s="12">
        <v>0.313</v>
      </c>
      <c r="N21" s="12">
        <v>0.33300000000000002</v>
      </c>
      <c r="O21" s="12">
        <v>0.33</v>
      </c>
      <c r="P21" s="3">
        <f t="shared" si="4"/>
        <v>1.7000000000000015E-2</v>
      </c>
      <c r="Q21" s="3">
        <f t="shared" si="5"/>
        <v>1.7000000000000015E-2</v>
      </c>
      <c r="R21" s="3">
        <f t="shared" si="0"/>
        <v>1.7000000000000015E-2</v>
      </c>
      <c r="S21" s="3">
        <f t="shared" si="1"/>
        <v>6.6781373496437077E-2</v>
      </c>
      <c r="T21" s="3">
        <f t="shared" si="2"/>
        <v>22.859264147830412</v>
      </c>
      <c r="U21" s="3">
        <f t="shared" si="3"/>
        <v>9.6008909420887729</v>
      </c>
      <c r="V21" s="14">
        <f t="shared" si="6"/>
        <v>4.8004454710443865</v>
      </c>
      <c r="W21" s="3">
        <f t="shared" si="7"/>
        <v>4.5124187427817226</v>
      </c>
      <c r="X21" s="21"/>
    </row>
    <row r="22" spans="1:24" x14ac:dyDescent="0.25">
      <c r="A22" s="3">
        <v>20230608</v>
      </c>
      <c r="B22" s="3" t="s">
        <v>17</v>
      </c>
      <c r="C22" s="3">
        <v>6</v>
      </c>
      <c r="D22" s="3" t="s">
        <v>29</v>
      </c>
      <c r="E22" s="3" t="s">
        <v>27</v>
      </c>
      <c r="F22" s="3" t="s">
        <v>23</v>
      </c>
      <c r="G22" s="5">
        <v>1.8</v>
      </c>
      <c r="H22" s="5">
        <v>10</v>
      </c>
      <c r="I22" s="5">
        <v>0.5</v>
      </c>
      <c r="J22" s="5">
        <v>0.25</v>
      </c>
      <c r="K22" s="5">
        <v>1.4999999999999999E-2</v>
      </c>
      <c r="L22" s="12">
        <v>0.35899999999999999</v>
      </c>
      <c r="M22" s="12">
        <v>0.35699999999999998</v>
      </c>
      <c r="N22" s="12">
        <v>0.43</v>
      </c>
      <c r="O22" s="12">
        <v>0.42399999999999999</v>
      </c>
      <c r="P22" s="3">
        <f t="shared" si="4"/>
        <v>7.1000000000000008E-2</v>
      </c>
      <c r="Q22" s="3">
        <f t="shared" si="5"/>
        <v>6.7000000000000004E-2</v>
      </c>
      <c r="R22" s="3">
        <f t="shared" si="0"/>
        <v>6.9000000000000006E-2</v>
      </c>
      <c r="S22" s="3">
        <f t="shared" si="1"/>
        <v>0.27105381007377377</v>
      </c>
      <c r="T22" s="3">
        <f t="shared" si="2"/>
        <v>92.781719188252765</v>
      </c>
      <c r="U22" s="3">
        <f t="shared" si="3"/>
        <v>38.968322059066161</v>
      </c>
      <c r="V22" s="14">
        <f t="shared" si="6"/>
        <v>19.48416102953308</v>
      </c>
      <c r="W22" s="3">
        <f t="shared" si="7"/>
        <v>18.315111367761094</v>
      </c>
      <c r="X22" s="21"/>
    </row>
    <row r="23" spans="1:24" s="22" customFormat="1" x14ac:dyDescent="0.25">
      <c r="A23" s="22">
        <v>20230608</v>
      </c>
      <c r="B23" s="22" t="s">
        <v>17</v>
      </c>
      <c r="C23" s="22">
        <v>1</v>
      </c>
      <c r="D23" s="22" t="s">
        <v>31</v>
      </c>
      <c r="E23" s="22" t="s">
        <v>27</v>
      </c>
      <c r="F23" s="22" t="s">
        <v>23</v>
      </c>
      <c r="G23" s="22">
        <v>10</v>
      </c>
      <c r="J23" s="23">
        <v>0.25</v>
      </c>
      <c r="K23" s="22">
        <v>0.11</v>
      </c>
      <c r="L23" s="27">
        <v>0.88400000000000001</v>
      </c>
      <c r="M23" s="27">
        <v>0.97399999999999998</v>
      </c>
      <c r="N23" s="27">
        <v>3.6027999999999998</v>
      </c>
      <c r="O23" s="27">
        <v>3.7896000000000001</v>
      </c>
      <c r="P23" s="22">
        <f t="shared" si="4"/>
        <v>2.7187999999999999</v>
      </c>
      <c r="Q23" s="22">
        <f t="shared" si="5"/>
        <v>2.8155999999999999</v>
      </c>
      <c r="R23" s="22">
        <f t="shared" si="0"/>
        <v>2.7671999999999999</v>
      </c>
      <c r="S23" s="22">
        <f t="shared" si="1"/>
        <v>1.4823322198342821</v>
      </c>
      <c r="T23" s="22">
        <f t="shared" si="2"/>
        <v>507.40231884927476</v>
      </c>
      <c r="U23" s="22">
        <f t="shared" si="3"/>
        <v>213.10897391669539</v>
      </c>
      <c r="V23" s="25">
        <f>U23*G23</f>
        <v>2131.0897391669541</v>
      </c>
      <c r="W23" s="22">
        <f t="shared" ref="W23:W34" si="11">U23*9.78</f>
        <v>2084.2057649052808</v>
      </c>
      <c r="X23" s="26">
        <f t="shared" ref="X23:X34" si="12">V23/1000</f>
        <v>2.1310897391669541</v>
      </c>
    </row>
    <row r="24" spans="1:24" s="22" customFormat="1" x14ac:dyDescent="0.25">
      <c r="A24" s="22">
        <v>20230608</v>
      </c>
      <c r="B24" s="22" t="s">
        <v>17</v>
      </c>
      <c r="C24" s="22">
        <v>2</v>
      </c>
      <c r="D24" s="22" t="s">
        <v>31</v>
      </c>
      <c r="E24" s="22" t="s">
        <v>27</v>
      </c>
      <c r="F24" s="22" t="s">
        <v>23</v>
      </c>
      <c r="G24" s="22">
        <v>10</v>
      </c>
      <c r="J24" s="23">
        <v>0.25</v>
      </c>
      <c r="K24" s="23">
        <v>0.11</v>
      </c>
      <c r="L24" s="27">
        <v>0.85</v>
      </c>
      <c r="M24" s="27">
        <v>0.86899999999999999</v>
      </c>
      <c r="N24" s="27">
        <v>3.6276000000000002</v>
      </c>
      <c r="O24" s="27">
        <v>0.87799999999999989</v>
      </c>
      <c r="P24" s="22">
        <f t="shared" si="4"/>
        <v>2.7776000000000001</v>
      </c>
      <c r="Q24" s="22">
        <f t="shared" si="5"/>
        <v>8.999999999999897E-3</v>
      </c>
      <c r="R24" s="22">
        <f t="shared" si="0"/>
        <v>1.3933</v>
      </c>
      <c r="S24" s="22">
        <f t="shared" si="1"/>
        <v>0.7463622007426659</v>
      </c>
      <c r="T24" s="22">
        <f t="shared" si="2"/>
        <v>255.47978131421453</v>
      </c>
      <c r="U24" s="22">
        <f t="shared" si="3"/>
        <v>107.3015081519701</v>
      </c>
      <c r="V24" s="25">
        <f t="shared" ref="V24:V34" si="13">U24*G24</f>
        <v>1073.015081519701</v>
      </c>
      <c r="W24" s="22">
        <f t="shared" si="11"/>
        <v>1049.4087497262674</v>
      </c>
      <c r="X24" s="26">
        <f t="shared" si="12"/>
        <v>1.073015081519701</v>
      </c>
    </row>
    <row r="25" spans="1:24" s="22" customFormat="1" x14ac:dyDescent="0.25">
      <c r="A25" s="22">
        <v>20230608</v>
      </c>
      <c r="B25" s="22" t="s">
        <v>17</v>
      </c>
      <c r="C25" s="22">
        <v>3</v>
      </c>
      <c r="D25" s="22" t="s">
        <v>31</v>
      </c>
      <c r="E25" s="22" t="s">
        <v>27</v>
      </c>
      <c r="F25" s="22" t="s">
        <v>23</v>
      </c>
      <c r="G25" s="22">
        <v>10</v>
      </c>
      <c r="J25" s="23">
        <v>0.25</v>
      </c>
      <c r="K25" s="23">
        <v>0.11</v>
      </c>
      <c r="L25" s="27">
        <v>0.85</v>
      </c>
      <c r="M25" s="27">
        <v>0.98099999999999998</v>
      </c>
      <c r="N25" s="27">
        <v>3.3149999999999999</v>
      </c>
      <c r="O25" s="27">
        <v>3.4095999999999997</v>
      </c>
      <c r="P25" s="22">
        <f t="shared" si="4"/>
        <v>2.4649999999999999</v>
      </c>
      <c r="Q25" s="22">
        <f t="shared" si="5"/>
        <v>2.4285999999999999</v>
      </c>
      <c r="R25" s="22">
        <f t="shared" si="0"/>
        <v>2.4467999999999996</v>
      </c>
      <c r="S25" s="22">
        <f t="shared" si="1"/>
        <v>1.3107005187519951</v>
      </c>
      <c r="T25" s="22">
        <f t="shared" si="2"/>
        <v>448.65278756880792</v>
      </c>
      <c r="U25" s="22">
        <f t="shared" si="3"/>
        <v>188.43417077889933</v>
      </c>
      <c r="V25" s="25">
        <f t="shared" si="13"/>
        <v>1884.3417077889933</v>
      </c>
      <c r="W25" s="22">
        <f t="shared" si="11"/>
        <v>1842.8861902176354</v>
      </c>
      <c r="X25" s="26">
        <f t="shared" si="12"/>
        <v>1.8843417077889932</v>
      </c>
    </row>
    <row r="26" spans="1:24" s="22" customFormat="1" x14ac:dyDescent="0.25">
      <c r="A26" s="22">
        <v>20230608</v>
      </c>
      <c r="B26" s="22" t="s">
        <v>17</v>
      </c>
      <c r="C26" s="22">
        <v>4</v>
      </c>
      <c r="D26" s="22" t="s">
        <v>31</v>
      </c>
      <c r="E26" s="22" t="s">
        <v>27</v>
      </c>
      <c r="F26" s="22" t="s">
        <v>23</v>
      </c>
      <c r="G26" s="22">
        <v>10</v>
      </c>
      <c r="J26" s="23">
        <v>0.25</v>
      </c>
      <c r="K26" s="22">
        <v>0.11</v>
      </c>
      <c r="L26" s="27">
        <v>0.72899999999999998</v>
      </c>
      <c r="M26" s="27">
        <v>0.78800000000000003</v>
      </c>
      <c r="N26" s="27">
        <v>2.7917999999999998</v>
      </c>
      <c r="O26" s="27">
        <v>2.9</v>
      </c>
      <c r="P26" s="22">
        <f t="shared" si="4"/>
        <v>2.0627999999999997</v>
      </c>
      <c r="Q26" s="22">
        <f t="shared" si="5"/>
        <v>2.1120000000000001</v>
      </c>
      <c r="R26" s="22">
        <f t="shared" si="0"/>
        <v>2.0873999999999997</v>
      </c>
      <c r="S26" s="22">
        <f t="shared" si="1"/>
        <v>1.1181773184742989</v>
      </c>
      <c r="T26" s="22">
        <f t="shared" si="2"/>
        <v>382.75209611375254</v>
      </c>
      <c r="U26" s="22">
        <f t="shared" si="3"/>
        <v>160.75588036777606</v>
      </c>
      <c r="V26" s="25">
        <f t="shared" si="13"/>
        <v>1607.5588036777606</v>
      </c>
      <c r="W26" s="22">
        <f t="shared" si="11"/>
        <v>1572.1925099968498</v>
      </c>
      <c r="X26" s="26">
        <f t="shared" si="12"/>
        <v>1.6075588036777606</v>
      </c>
    </row>
    <row r="27" spans="1:24" s="22" customFormat="1" x14ac:dyDescent="0.25">
      <c r="A27" s="22">
        <v>20230608</v>
      </c>
      <c r="B27" s="22" t="s">
        <v>17</v>
      </c>
      <c r="C27" s="22">
        <v>5</v>
      </c>
      <c r="D27" s="22" t="s">
        <v>31</v>
      </c>
      <c r="E27" s="22" t="s">
        <v>27</v>
      </c>
      <c r="F27" s="22" t="s">
        <v>23</v>
      </c>
      <c r="G27" s="22">
        <v>10</v>
      </c>
      <c r="J27" s="23">
        <v>0.25</v>
      </c>
      <c r="K27" s="23">
        <v>0.11</v>
      </c>
      <c r="L27" s="27">
        <v>0.56399999999999995</v>
      </c>
      <c r="M27" s="27">
        <v>0.63200000000000001</v>
      </c>
      <c r="N27" s="27">
        <v>3.4988000000000001</v>
      </c>
      <c r="O27" s="27">
        <v>3.6745999999999994</v>
      </c>
      <c r="P27" s="22">
        <f t="shared" si="4"/>
        <v>2.9348000000000001</v>
      </c>
      <c r="Q27" s="22">
        <f t="shared" si="5"/>
        <v>3.0425999999999993</v>
      </c>
      <c r="R27" s="22">
        <f t="shared" si="0"/>
        <v>2.9886999999999997</v>
      </c>
      <c r="S27" s="22">
        <f t="shared" si="1"/>
        <v>1.6009852216748766</v>
      </c>
      <c r="T27" s="22">
        <f t="shared" si="2"/>
        <v>548.01724137931024</v>
      </c>
      <c r="U27" s="22">
        <f t="shared" si="3"/>
        <v>230.1672413793103</v>
      </c>
      <c r="V27" s="25">
        <f t="shared" si="13"/>
        <v>2301.6724137931028</v>
      </c>
      <c r="W27" s="22">
        <f t="shared" si="11"/>
        <v>2251.0356206896545</v>
      </c>
      <c r="X27" s="26">
        <f t="shared" si="12"/>
        <v>2.3016724137931028</v>
      </c>
    </row>
    <row r="28" spans="1:24" s="22" customFormat="1" x14ac:dyDescent="0.25">
      <c r="A28" s="22">
        <v>20230608</v>
      </c>
      <c r="B28" s="22" t="s">
        <v>17</v>
      </c>
      <c r="C28" s="22">
        <v>6</v>
      </c>
      <c r="D28" s="22" t="s">
        <v>31</v>
      </c>
      <c r="E28" s="22" t="s">
        <v>27</v>
      </c>
      <c r="F28" s="22" t="s">
        <v>23</v>
      </c>
      <c r="G28" s="22">
        <v>10</v>
      </c>
      <c r="J28" s="23">
        <v>0.25</v>
      </c>
      <c r="K28" s="23">
        <v>0.11</v>
      </c>
      <c r="L28" s="27">
        <v>0.65600000000000003</v>
      </c>
      <c r="M28" s="27">
        <v>0.68300000000000005</v>
      </c>
      <c r="N28" s="27">
        <v>3.6323999999999996</v>
      </c>
      <c r="O28" s="27">
        <v>3.6799999999999997</v>
      </c>
      <c r="P28" s="22">
        <f t="shared" si="4"/>
        <v>2.9763999999999995</v>
      </c>
      <c r="Q28" s="22">
        <f t="shared" si="5"/>
        <v>2.9969999999999999</v>
      </c>
      <c r="R28" s="22">
        <f t="shared" si="0"/>
        <v>2.9866999999999999</v>
      </c>
      <c r="S28" s="22">
        <f t="shared" si="1"/>
        <v>1.5999138627417788</v>
      </c>
      <c r="T28" s="22">
        <f t="shared" si="2"/>
        <v>547.65051521651094</v>
      </c>
      <c r="U28" s="22">
        <f t="shared" si="3"/>
        <v>230.01321639093459</v>
      </c>
      <c r="V28" s="25">
        <f t="shared" si="13"/>
        <v>2300.1321639093458</v>
      </c>
      <c r="W28" s="22">
        <f t="shared" si="11"/>
        <v>2249.5292563033399</v>
      </c>
      <c r="X28" s="26">
        <f t="shared" si="12"/>
        <v>2.3001321639093457</v>
      </c>
    </row>
    <row r="29" spans="1:24" s="22" customFormat="1" x14ac:dyDescent="0.25">
      <c r="A29" s="22">
        <v>20230608</v>
      </c>
      <c r="B29" s="22" t="s">
        <v>17</v>
      </c>
      <c r="C29" s="22">
        <v>1</v>
      </c>
      <c r="D29" s="22" t="s">
        <v>30</v>
      </c>
      <c r="E29" s="22" t="s">
        <v>27</v>
      </c>
      <c r="F29" s="22" t="s">
        <v>23</v>
      </c>
      <c r="G29" s="22">
        <v>10</v>
      </c>
      <c r="J29" s="23">
        <v>0.25</v>
      </c>
      <c r="K29" s="22">
        <v>0.11</v>
      </c>
      <c r="L29" s="27">
        <v>0.66100000000000003</v>
      </c>
      <c r="M29" s="27">
        <v>0.68700000000000006</v>
      </c>
      <c r="N29" s="27">
        <v>2.9152</v>
      </c>
      <c r="O29" s="27">
        <v>3.0326</v>
      </c>
      <c r="P29" s="22">
        <f t="shared" si="4"/>
        <v>2.2542</v>
      </c>
      <c r="Q29" s="22">
        <f t="shared" si="5"/>
        <v>2.3456000000000001</v>
      </c>
      <c r="R29" s="22">
        <f t="shared" si="0"/>
        <v>2.2999000000000001</v>
      </c>
      <c r="S29" s="22">
        <f t="shared" si="1"/>
        <v>1.232009205115953</v>
      </c>
      <c r="T29" s="22">
        <f t="shared" si="2"/>
        <v>421.71675091119073</v>
      </c>
      <c r="U29" s="22">
        <f t="shared" si="3"/>
        <v>177.12103538270009</v>
      </c>
      <c r="V29" s="25">
        <f t="shared" si="13"/>
        <v>1771.2103538270007</v>
      </c>
      <c r="W29" s="22">
        <f t="shared" si="11"/>
        <v>1732.2437260428067</v>
      </c>
      <c r="X29" s="26">
        <f t="shared" si="12"/>
        <v>1.7712103538270008</v>
      </c>
    </row>
    <row r="30" spans="1:24" s="22" customFormat="1" x14ac:dyDescent="0.25">
      <c r="A30" s="22">
        <v>20230608</v>
      </c>
      <c r="B30" s="22" t="s">
        <v>17</v>
      </c>
      <c r="C30" s="22">
        <v>2</v>
      </c>
      <c r="D30" s="22" t="s">
        <v>30</v>
      </c>
      <c r="E30" s="22" t="s">
        <v>27</v>
      </c>
      <c r="F30" s="22" t="s">
        <v>23</v>
      </c>
      <c r="G30" s="22">
        <v>10</v>
      </c>
      <c r="J30" s="23">
        <v>0.25</v>
      </c>
      <c r="K30" s="23">
        <v>0.11</v>
      </c>
      <c r="L30" s="27">
        <v>0.70799999999999996</v>
      </c>
      <c r="M30" s="27">
        <v>0.77100000000000002</v>
      </c>
      <c r="N30" s="27">
        <v>3.45</v>
      </c>
      <c r="O30" s="27">
        <v>3.5892000000000004</v>
      </c>
      <c r="P30" s="22">
        <f t="shared" si="4"/>
        <v>2.742</v>
      </c>
      <c r="Q30" s="22">
        <f t="shared" si="5"/>
        <v>2.8182000000000005</v>
      </c>
      <c r="R30" s="22">
        <f t="shared" si="0"/>
        <v>2.7801</v>
      </c>
      <c r="S30" s="22">
        <f t="shared" si="1"/>
        <v>1.4892424849527637</v>
      </c>
      <c r="T30" s="22">
        <f t="shared" si="2"/>
        <v>509.76770259933102</v>
      </c>
      <c r="U30" s="22">
        <f t="shared" si="3"/>
        <v>214.10243509171903</v>
      </c>
      <c r="V30" s="25">
        <f t="shared" si="13"/>
        <v>2141.0243509171905</v>
      </c>
      <c r="W30" s="22">
        <f t="shared" si="11"/>
        <v>2093.9218151970122</v>
      </c>
      <c r="X30" s="26">
        <f t="shared" si="12"/>
        <v>2.1410243509171907</v>
      </c>
    </row>
    <row r="31" spans="1:24" s="22" customFormat="1" x14ac:dyDescent="0.25">
      <c r="A31" s="22">
        <v>20230608</v>
      </c>
      <c r="B31" s="22" t="s">
        <v>17</v>
      </c>
      <c r="C31" s="22">
        <v>3</v>
      </c>
      <c r="D31" s="22" t="s">
        <v>30</v>
      </c>
      <c r="E31" s="22" t="s">
        <v>27</v>
      </c>
      <c r="F31" s="22" t="s">
        <v>23</v>
      </c>
      <c r="G31" s="22">
        <v>10</v>
      </c>
      <c r="J31" s="23">
        <v>0.25</v>
      </c>
      <c r="K31" s="23">
        <v>0.11</v>
      </c>
      <c r="L31" s="27">
        <v>0.83799999999999997</v>
      </c>
      <c r="M31" s="27">
        <v>0.90400000000000003</v>
      </c>
      <c r="N31" s="27">
        <v>3.5745999999999993</v>
      </c>
      <c r="O31" s="27">
        <v>3.6539999999999999</v>
      </c>
      <c r="P31" s="22">
        <f t="shared" si="4"/>
        <v>2.7365999999999993</v>
      </c>
      <c r="Q31" s="22">
        <f t="shared" si="5"/>
        <v>2.75</v>
      </c>
      <c r="R31" s="22">
        <f t="shared" si="0"/>
        <v>2.7432999999999996</v>
      </c>
      <c r="S31" s="22">
        <f t="shared" si="1"/>
        <v>1.469529480583762</v>
      </c>
      <c r="T31" s="22">
        <f t="shared" si="2"/>
        <v>503.01994120382176</v>
      </c>
      <c r="U31" s="22">
        <f t="shared" si="3"/>
        <v>211.26837530560513</v>
      </c>
      <c r="V31" s="25">
        <f t="shared" si="13"/>
        <v>2112.6837530560515</v>
      </c>
      <c r="W31" s="22">
        <f t="shared" si="11"/>
        <v>2066.2047104888179</v>
      </c>
      <c r="X31" s="26">
        <f t="shared" si="12"/>
        <v>2.1126837530560514</v>
      </c>
    </row>
    <row r="32" spans="1:24" s="22" customFormat="1" x14ac:dyDescent="0.25">
      <c r="A32" s="22">
        <v>20230608</v>
      </c>
      <c r="B32" s="22" t="s">
        <v>17</v>
      </c>
      <c r="C32" s="22">
        <v>4</v>
      </c>
      <c r="D32" s="22" t="s">
        <v>30</v>
      </c>
      <c r="E32" s="22" t="s">
        <v>27</v>
      </c>
      <c r="F32" s="22" t="s">
        <v>23</v>
      </c>
      <c r="G32" s="22">
        <v>10</v>
      </c>
      <c r="J32" s="23">
        <v>0.25</v>
      </c>
      <c r="K32" s="22">
        <v>0.11</v>
      </c>
      <c r="L32" s="27">
        <v>0.70799999999999996</v>
      </c>
      <c r="M32" s="27">
        <v>0.73299999999999998</v>
      </c>
      <c r="N32" s="27">
        <v>2.9832000000000001</v>
      </c>
      <c r="O32" s="27">
        <v>3.0792000000000002</v>
      </c>
      <c r="P32" s="22">
        <f t="shared" si="4"/>
        <v>2.2751999999999999</v>
      </c>
      <c r="Q32" s="22">
        <f t="shared" si="5"/>
        <v>2.3462000000000001</v>
      </c>
      <c r="R32" s="22">
        <f t="shared" si="0"/>
        <v>2.3106999999999998</v>
      </c>
      <c r="S32" s="22">
        <f t="shared" si="1"/>
        <v>1.2377945433546818</v>
      </c>
      <c r="T32" s="22">
        <f t="shared" si="2"/>
        <v>423.69707219030755</v>
      </c>
      <c r="U32" s="22">
        <f t="shared" si="3"/>
        <v>177.95277031992916</v>
      </c>
      <c r="V32" s="25">
        <f t="shared" si="13"/>
        <v>1779.5277031992916</v>
      </c>
      <c r="W32" s="22">
        <f t="shared" si="11"/>
        <v>1740.3780937289071</v>
      </c>
      <c r="X32" s="26">
        <f t="shared" si="12"/>
        <v>1.7795277031992915</v>
      </c>
    </row>
    <row r="33" spans="1:24" s="22" customFormat="1" x14ac:dyDescent="0.25">
      <c r="A33" s="22">
        <v>20230608</v>
      </c>
      <c r="B33" s="22" t="s">
        <v>17</v>
      </c>
      <c r="C33" s="22">
        <v>5</v>
      </c>
      <c r="D33" s="22" t="s">
        <v>30</v>
      </c>
      <c r="E33" s="22" t="s">
        <v>27</v>
      </c>
      <c r="F33" s="22" t="s">
        <v>23</v>
      </c>
      <c r="G33" s="22">
        <v>10</v>
      </c>
      <c r="J33" s="23">
        <v>0.25</v>
      </c>
      <c r="K33" s="23">
        <v>0.11</v>
      </c>
      <c r="L33" s="27">
        <v>0.60799999999999998</v>
      </c>
      <c r="M33" s="27">
        <v>0.64500000000000002</v>
      </c>
      <c r="N33" s="27">
        <v>2.6593999999999998</v>
      </c>
      <c r="O33" s="27">
        <v>2.7247999999999997</v>
      </c>
      <c r="P33" s="22">
        <f t="shared" si="4"/>
        <v>2.0513999999999997</v>
      </c>
      <c r="Q33" s="22">
        <f t="shared" si="5"/>
        <v>2.0797999999999996</v>
      </c>
      <c r="R33" s="22">
        <f t="shared" si="0"/>
        <v>2.0655999999999999</v>
      </c>
      <c r="S33" s="22">
        <f t="shared" si="1"/>
        <v>1.1064995061035316</v>
      </c>
      <c r="T33" s="22">
        <f t="shared" si="2"/>
        <v>378.75478093923891</v>
      </c>
      <c r="U33" s="22">
        <f t="shared" si="3"/>
        <v>159.07700799448034</v>
      </c>
      <c r="V33" s="25">
        <f t="shared" si="13"/>
        <v>1590.7700799448035</v>
      </c>
      <c r="W33" s="22">
        <f t="shared" si="11"/>
        <v>1555.7731381860176</v>
      </c>
      <c r="X33" s="26">
        <f t="shared" si="12"/>
        <v>1.5907700799448035</v>
      </c>
    </row>
    <row r="34" spans="1:24" s="22" customFormat="1" x14ac:dyDescent="0.25">
      <c r="A34" s="22">
        <v>20230608</v>
      </c>
      <c r="B34" s="22" t="s">
        <v>17</v>
      </c>
      <c r="C34" s="22">
        <v>6</v>
      </c>
      <c r="D34" s="22" t="s">
        <v>30</v>
      </c>
      <c r="E34" s="22" t="s">
        <v>27</v>
      </c>
      <c r="F34" s="22" t="s">
        <v>23</v>
      </c>
      <c r="G34" s="22">
        <v>10</v>
      </c>
      <c r="J34" s="23">
        <v>0.25</v>
      </c>
      <c r="K34" s="23">
        <v>0.11</v>
      </c>
      <c r="L34" s="27">
        <v>0.47599999999999998</v>
      </c>
      <c r="M34" s="27">
        <v>0.47</v>
      </c>
      <c r="N34" s="27">
        <v>2.7244000000000002</v>
      </c>
      <c r="O34" s="27">
        <v>2.6735999999999995</v>
      </c>
      <c r="P34" s="22">
        <f t="shared" si="4"/>
        <v>2.2484000000000002</v>
      </c>
      <c r="Q34" s="22">
        <f t="shared" si="5"/>
        <v>2.2035999999999998</v>
      </c>
      <c r="R34" s="22">
        <f t="shared" si="0"/>
        <v>2.226</v>
      </c>
      <c r="S34" s="22">
        <f t="shared" si="1"/>
        <v>1.1924224925379849</v>
      </c>
      <c r="T34" s="22">
        <f t="shared" si="2"/>
        <v>408.16621919575226</v>
      </c>
      <c r="U34" s="22">
        <f t="shared" si="3"/>
        <v>171.42981206221594</v>
      </c>
      <c r="V34" s="25">
        <f t="shared" si="13"/>
        <v>1714.2981206221593</v>
      </c>
      <c r="W34" s="22">
        <f t="shared" si="11"/>
        <v>1676.5835619684719</v>
      </c>
      <c r="X34" s="26">
        <f t="shared" si="12"/>
        <v>1.7142981206221592</v>
      </c>
    </row>
    <row r="35" spans="1:24" x14ac:dyDescent="0.25">
      <c r="A35" s="3">
        <v>20230615</v>
      </c>
      <c r="B35" s="3" t="s">
        <v>17</v>
      </c>
      <c r="C35" s="3">
        <v>1</v>
      </c>
      <c r="D35" s="3" t="s">
        <v>29</v>
      </c>
      <c r="E35" s="3" t="s">
        <v>27</v>
      </c>
      <c r="F35" s="3" t="s">
        <v>24</v>
      </c>
      <c r="G35" s="5">
        <v>1.8</v>
      </c>
      <c r="H35" s="5">
        <v>10</v>
      </c>
      <c r="I35" s="5">
        <v>0.5</v>
      </c>
      <c r="J35" s="5">
        <v>0.25</v>
      </c>
      <c r="K35" s="5">
        <v>1.4999999999999999E-2</v>
      </c>
      <c r="L35" s="12">
        <v>0.29299999999999998</v>
      </c>
      <c r="M35" s="12">
        <v>0.28799999999999998</v>
      </c>
      <c r="N35" s="12">
        <v>0.30299999999999999</v>
      </c>
      <c r="O35" s="12">
        <v>0.3</v>
      </c>
      <c r="P35" s="3">
        <f t="shared" si="4"/>
        <v>1.0000000000000009E-2</v>
      </c>
      <c r="Q35" s="3">
        <f t="shared" si="5"/>
        <v>1.2000000000000011E-2</v>
      </c>
      <c r="R35" s="3">
        <f t="shared" si="0"/>
        <v>1.100000000000001E-2</v>
      </c>
      <c r="S35" s="3">
        <f t="shared" si="1"/>
        <v>4.3211476968282814E-2</v>
      </c>
      <c r="T35" s="3">
        <f t="shared" si="2"/>
        <v>14.791288566243207</v>
      </c>
      <c r="U35" s="3">
        <f t="shared" si="3"/>
        <v>6.2123411978221466</v>
      </c>
      <c r="V35" s="14">
        <f t="shared" si="6"/>
        <v>3.1061705989110733</v>
      </c>
      <c r="W35" s="3">
        <f t="shared" si="7"/>
        <v>2.9198003629764089</v>
      </c>
      <c r="X35" s="21"/>
    </row>
    <row r="36" spans="1:24" x14ac:dyDescent="0.25">
      <c r="A36" s="3">
        <v>20230615</v>
      </c>
      <c r="B36" s="3" t="s">
        <v>17</v>
      </c>
      <c r="C36" s="3">
        <v>2</v>
      </c>
      <c r="D36" s="3" t="s">
        <v>29</v>
      </c>
      <c r="E36" s="3" t="s">
        <v>27</v>
      </c>
      <c r="F36" s="3" t="s">
        <v>24</v>
      </c>
      <c r="G36" s="5">
        <v>1.8</v>
      </c>
      <c r="H36" s="5">
        <v>10</v>
      </c>
      <c r="I36" s="5">
        <v>0.5</v>
      </c>
      <c r="J36" s="5">
        <v>0.25</v>
      </c>
      <c r="K36" s="5">
        <v>1.4999999999999999E-2</v>
      </c>
      <c r="L36" s="12">
        <v>0.29599999999999999</v>
      </c>
      <c r="M36" s="12">
        <v>0.29399999999999998</v>
      </c>
      <c r="N36" s="12">
        <v>0.32</v>
      </c>
      <c r="O36" s="12">
        <v>0.32</v>
      </c>
      <c r="P36" s="3">
        <f t="shared" si="4"/>
        <v>2.4000000000000021E-2</v>
      </c>
      <c r="Q36" s="3">
        <f t="shared" si="5"/>
        <v>2.6000000000000023E-2</v>
      </c>
      <c r="R36" s="3">
        <f t="shared" si="0"/>
        <v>2.5000000000000022E-2</v>
      </c>
      <c r="S36" s="3">
        <f t="shared" si="1"/>
        <v>9.8207902200642766E-2</v>
      </c>
      <c r="T36" s="3">
        <f t="shared" si="2"/>
        <v>33.616564923280023</v>
      </c>
      <c r="U36" s="3">
        <f t="shared" si="3"/>
        <v>14.11895726777761</v>
      </c>
      <c r="V36" s="14">
        <f t="shared" si="6"/>
        <v>7.0594786338888049</v>
      </c>
      <c r="W36" s="3">
        <f t="shared" si="7"/>
        <v>6.6359099158554766</v>
      </c>
      <c r="X36" s="21"/>
    </row>
    <row r="37" spans="1:24" x14ac:dyDescent="0.25">
      <c r="A37" s="3">
        <v>20230615</v>
      </c>
      <c r="B37" s="3" t="s">
        <v>17</v>
      </c>
      <c r="C37" s="3">
        <v>3</v>
      </c>
      <c r="D37" s="3" t="s">
        <v>29</v>
      </c>
      <c r="E37" s="3" t="s">
        <v>27</v>
      </c>
      <c r="F37" s="3" t="s">
        <v>24</v>
      </c>
      <c r="G37" s="5">
        <v>1.8</v>
      </c>
      <c r="H37" s="5">
        <v>10</v>
      </c>
      <c r="I37" s="5">
        <v>0.5</v>
      </c>
      <c r="J37" s="5">
        <v>0.25</v>
      </c>
      <c r="K37" s="5">
        <v>1.4999999999999999E-2</v>
      </c>
      <c r="L37" s="12">
        <v>0.29299999999999998</v>
      </c>
      <c r="M37" s="12">
        <v>0.29899999999999999</v>
      </c>
      <c r="N37" s="12">
        <v>0.34100000000000003</v>
      </c>
      <c r="O37" s="12">
        <v>0.34899999999999998</v>
      </c>
      <c r="P37" s="3">
        <f t="shared" si="4"/>
        <v>4.8000000000000043E-2</v>
      </c>
      <c r="Q37" s="3">
        <f t="shared" si="5"/>
        <v>4.9999999999999989E-2</v>
      </c>
      <c r="R37" s="3">
        <f t="shared" si="0"/>
        <v>4.9000000000000016E-2</v>
      </c>
      <c r="S37" s="3">
        <f t="shared" si="1"/>
        <v>0.19248748831325971</v>
      </c>
      <c r="T37" s="3">
        <f t="shared" si="2"/>
        <v>65.888467249628803</v>
      </c>
      <c r="U37" s="3">
        <f t="shared" si="3"/>
        <v>27.673156244844098</v>
      </c>
      <c r="V37" s="14">
        <f t="shared" si="6"/>
        <v>13.836578122422049</v>
      </c>
      <c r="W37" s="3">
        <f t="shared" si="7"/>
        <v>13.006383435076724</v>
      </c>
      <c r="X37" s="21"/>
    </row>
    <row r="38" spans="1:24" x14ac:dyDescent="0.25">
      <c r="A38" s="3">
        <v>20230615</v>
      </c>
      <c r="B38" s="3" t="s">
        <v>17</v>
      </c>
      <c r="C38" s="3">
        <v>4</v>
      </c>
      <c r="D38" s="3" t="s">
        <v>29</v>
      </c>
      <c r="E38" s="3" t="s">
        <v>27</v>
      </c>
      <c r="F38" s="3" t="s">
        <v>24</v>
      </c>
      <c r="G38" s="5">
        <v>1.8</v>
      </c>
      <c r="H38" s="5">
        <v>10</v>
      </c>
      <c r="I38" s="5">
        <v>0.5</v>
      </c>
      <c r="J38" s="5">
        <v>0.25</v>
      </c>
      <c r="K38" s="5">
        <v>1.4999999999999999E-2</v>
      </c>
      <c r="L38" s="12">
        <v>0.29499999999999998</v>
      </c>
      <c r="M38" s="12">
        <v>0.29699999999999999</v>
      </c>
      <c r="N38" s="12">
        <v>0.51300000000000001</v>
      </c>
      <c r="O38" s="12">
        <v>0.51600000000000001</v>
      </c>
      <c r="P38" s="3">
        <f t="shared" si="4"/>
        <v>0.21800000000000003</v>
      </c>
      <c r="Q38" s="3">
        <f t="shared" si="5"/>
        <v>0.21900000000000003</v>
      </c>
      <c r="R38" s="3">
        <f t="shared" si="0"/>
        <v>0.21850000000000003</v>
      </c>
      <c r="S38" s="3">
        <f t="shared" si="1"/>
        <v>0.85833706523361697</v>
      </c>
      <c r="T38" s="3">
        <f t="shared" si="2"/>
        <v>293.80877742946711</v>
      </c>
      <c r="U38" s="3">
        <f t="shared" si="3"/>
        <v>123.39968652037618</v>
      </c>
      <c r="V38" s="14">
        <f t="shared" si="6"/>
        <v>61.699843260188089</v>
      </c>
      <c r="W38" s="3">
        <f t="shared" si="7"/>
        <v>57.997852664576797</v>
      </c>
      <c r="X38" s="21"/>
    </row>
    <row r="39" spans="1:24" x14ac:dyDescent="0.25">
      <c r="A39" s="3">
        <v>20230615</v>
      </c>
      <c r="B39" s="3" t="s">
        <v>17</v>
      </c>
      <c r="C39" s="3">
        <v>5</v>
      </c>
      <c r="D39" s="3" t="s">
        <v>29</v>
      </c>
      <c r="E39" s="3" t="s">
        <v>27</v>
      </c>
      <c r="F39" s="3" t="s">
        <v>24</v>
      </c>
      <c r="G39" s="5">
        <v>1.8</v>
      </c>
      <c r="H39" s="5">
        <v>10</v>
      </c>
      <c r="I39" s="5">
        <v>0.5</v>
      </c>
      <c r="J39" s="5">
        <v>0.25</v>
      </c>
      <c r="K39" s="5">
        <v>1.4999999999999999E-2</v>
      </c>
      <c r="L39" s="12">
        <v>0.307</v>
      </c>
      <c r="M39" s="12">
        <v>0.31</v>
      </c>
      <c r="N39" s="12">
        <v>0.31900000000000001</v>
      </c>
      <c r="O39" s="12">
        <v>0.32200000000000001</v>
      </c>
      <c r="P39" s="3">
        <f t="shared" si="4"/>
        <v>1.2000000000000011E-2</v>
      </c>
      <c r="Q39" s="3">
        <f t="shared" si="5"/>
        <v>1.2000000000000011E-2</v>
      </c>
      <c r="R39" s="3">
        <f t="shared" si="0"/>
        <v>1.2000000000000011E-2</v>
      </c>
      <c r="S39" s="3">
        <f t="shared" si="1"/>
        <v>4.713979305630852E-2</v>
      </c>
      <c r="T39" s="3">
        <f t="shared" si="2"/>
        <v>16.135951163174408</v>
      </c>
      <c r="U39" s="3">
        <f t="shared" si="3"/>
        <v>6.7770994885332509</v>
      </c>
      <c r="V39" s="14">
        <f t="shared" si="6"/>
        <v>3.3885497442666255</v>
      </c>
      <c r="W39" s="3">
        <f t="shared" si="7"/>
        <v>3.1852367596106279</v>
      </c>
      <c r="X39" s="21"/>
    </row>
    <row r="40" spans="1:24" x14ac:dyDescent="0.25">
      <c r="A40" s="3">
        <v>20230615</v>
      </c>
      <c r="B40" s="3" t="s">
        <v>17</v>
      </c>
      <c r="C40" s="3">
        <v>6</v>
      </c>
      <c r="D40" s="3" t="s">
        <v>29</v>
      </c>
      <c r="E40" s="3" t="s">
        <v>27</v>
      </c>
      <c r="F40" s="3" t="s">
        <v>24</v>
      </c>
      <c r="G40" s="5">
        <v>1.8</v>
      </c>
      <c r="H40" s="5">
        <v>10</v>
      </c>
      <c r="I40" s="5">
        <v>0.5</v>
      </c>
      <c r="J40" s="5">
        <v>0.25</v>
      </c>
      <c r="K40" s="5">
        <v>1.4999999999999999E-2</v>
      </c>
      <c r="L40" s="12">
        <v>0.30399999999999999</v>
      </c>
      <c r="M40" s="12">
        <v>0.30399999999999999</v>
      </c>
      <c r="N40" s="12">
        <v>0.31</v>
      </c>
      <c r="O40" s="12">
        <v>0.309</v>
      </c>
      <c r="P40" s="3">
        <f t="shared" si="4"/>
        <v>6.0000000000000053E-3</v>
      </c>
      <c r="Q40" s="3">
        <f t="shared" si="5"/>
        <v>5.0000000000000044E-3</v>
      </c>
      <c r="R40" s="3">
        <f t="shared" si="0"/>
        <v>5.5000000000000049E-3</v>
      </c>
      <c r="S40" s="3">
        <f t="shared" si="1"/>
        <v>2.1605738484141407E-2</v>
      </c>
      <c r="T40" s="3">
        <f t="shared" si="2"/>
        <v>7.3956442831216034</v>
      </c>
      <c r="U40" s="3">
        <f t="shared" si="3"/>
        <v>3.1061705989110733</v>
      </c>
      <c r="V40" s="14">
        <f t="shared" si="6"/>
        <v>1.5530852994555366</v>
      </c>
      <c r="W40" s="3">
        <f t="shared" si="7"/>
        <v>1.4599001814882044</v>
      </c>
      <c r="X40" s="21"/>
    </row>
    <row r="41" spans="1:24" s="22" customFormat="1" x14ac:dyDescent="0.25">
      <c r="A41" s="22">
        <v>20230615</v>
      </c>
      <c r="B41" s="22" t="s">
        <v>17</v>
      </c>
      <c r="C41" s="22">
        <v>1</v>
      </c>
      <c r="D41" s="22" t="s">
        <v>31</v>
      </c>
      <c r="E41" s="22" t="s">
        <v>27</v>
      </c>
      <c r="F41" s="22" t="s">
        <v>24</v>
      </c>
      <c r="G41" s="22">
        <v>10</v>
      </c>
      <c r="J41" s="23">
        <v>0.25</v>
      </c>
      <c r="K41" s="22">
        <v>0.11</v>
      </c>
      <c r="L41" s="27">
        <v>0.65300000000000002</v>
      </c>
      <c r="M41" s="27">
        <v>0.65800000000000003</v>
      </c>
      <c r="N41" s="27">
        <v>3.2603999999999997</v>
      </c>
      <c r="O41" s="27">
        <v>3.3065999999999995</v>
      </c>
      <c r="P41" s="22">
        <f t="shared" si="4"/>
        <v>2.6073999999999997</v>
      </c>
      <c r="Q41" s="22">
        <f t="shared" si="5"/>
        <v>2.6485999999999996</v>
      </c>
      <c r="R41" s="22">
        <f t="shared" si="0"/>
        <v>2.6279999999999997</v>
      </c>
      <c r="S41" s="22">
        <f t="shared" si="1"/>
        <v>1.4077656380906667</v>
      </c>
      <c r="T41" s="22">
        <f t="shared" si="2"/>
        <v>481.8781779184352</v>
      </c>
      <c r="U41" s="22">
        <f t="shared" si="3"/>
        <v>202.38883472574278</v>
      </c>
      <c r="V41" s="25">
        <f>U41*G41</f>
        <v>2023.8883472574278</v>
      </c>
      <c r="W41" s="22">
        <f t="shared" ref="W41:W52" si="14">U41*9.78</f>
        <v>1979.3628036177643</v>
      </c>
      <c r="X41" s="26">
        <f t="shared" ref="X41:X52" si="15">V41/1000</f>
        <v>2.0238883472574276</v>
      </c>
    </row>
    <row r="42" spans="1:24" s="22" customFormat="1" x14ac:dyDescent="0.25">
      <c r="A42" s="22">
        <v>20230615</v>
      </c>
      <c r="B42" s="22" t="s">
        <v>17</v>
      </c>
      <c r="C42" s="22">
        <v>2</v>
      </c>
      <c r="D42" s="22" t="s">
        <v>31</v>
      </c>
      <c r="E42" s="22" t="s">
        <v>27</v>
      </c>
      <c r="F42" s="22" t="s">
        <v>24</v>
      </c>
      <c r="G42" s="22">
        <v>10</v>
      </c>
      <c r="J42" s="23">
        <v>0.25</v>
      </c>
      <c r="K42" s="23">
        <v>0.11</v>
      </c>
      <c r="L42" s="27">
        <v>0.56499999999999995</v>
      </c>
      <c r="M42" s="27">
        <v>0.61799999999999999</v>
      </c>
      <c r="N42" s="27">
        <v>2.6684000000000001</v>
      </c>
      <c r="O42" s="27">
        <v>2.7536</v>
      </c>
      <c r="P42" s="22">
        <f t="shared" si="4"/>
        <v>2.1034000000000002</v>
      </c>
      <c r="Q42" s="22">
        <f t="shared" si="5"/>
        <v>2.1356000000000002</v>
      </c>
      <c r="R42" s="22">
        <f t="shared" si="0"/>
        <v>2.1195000000000004</v>
      </c>
      <c r="S42" s="22">
        <f t="shared" si="1"/>
        <v>1.1353726293505209</v>
      </c>
      <c r="T42" s="22">
        <f t="shared" si="2"/>
        <v>388.63805102668329</v>
      </c>
      <c r="U42" s="22">
        <f t="shared" si="3"/>
        <v>163.22798143120698</v>
      </c>
      <c r="V42" s="25">
        <f t="shared" ref="V42:V52" si="16">U42*G42</f>
        <v>1632.2798143120699</v>
      </c>
      <c r="W42" s="22">
        <f t="shared" si="14"/>
        <v>1596.3696583972041</v>
      </c>
      <c r="X42" s="26">
        <f t="shared" si="15"/>
        <v>1.6322798143120698</v>
      </c>
    </row>
    <row r="43" spans="1:24" s="22" customFormat="1" x14ac:dyDescent="0.25">
      <c r="A43" s="22">
        <v>20230615</v>
      </c>
      <c r="B43" s="22" t="s">
        <v>17</v>
      </c>
      <c r="C43" s="22">
        <v>3</v>
      </c>
      <c r="D43" s="22" t="s">
        <v>31</v>
      </c>
      <c r="E43" s="22" t="s">
        <v>27</v>
      </c>
      <c r="F43" s="22" t="s">
        <v>24</v>
      </c>
      <c r="G43" s="22">
        <v>10</v>
      </c>
      <c r="J43" s="23">
        <v>0.25</v>
      </c>
      <c r="K43" s="23">
        <v>0.11</v>
      </c>
      <c r="L43" s="27">
        <v>0.54600000000000004</v>
      </c>
      <c r="M43" s="27">
        <v>0.54900000000000004</v>
      </c>
      <c r="N43" s="27">
        <v>3.1909999999999998</v>
      </c>
      <c r="O43" s="27">
        <v>3.2066000000000003</v>
      </c>
      <c r="P43" s="22">
        <f t="shared" si="4"/>
        <v>2.6449999999999996</v>
      </c>
      <c r="Q43" s="22">
        <f t="shared" si="5"/>
        <v>2.6576000000000004</v>
      </c>
      <c r="R43" s="22">
        <f t="shared" si="0"/>
        <v>2.6513</v>
      </c>
      <c r="S43" s="22">
        <f t="shared" si="1"/>
        <v>1.4202469696612576</v>
      </c>
      <c r="T43" s="22">
        <f t="shared" si="2"/>
        <v>486.15053771504853</v>
      </c>
      <c r="U43" s="22">
        <f t="shared" si="3"/>
        <v>204.18322584032038</v>
      </c>
      <c r="V43" s="25">
        <f t="shared" si="16"/>
        <v>2041.8322584032037</v>
      </c>
      <c r="W43" s="22">
        <f t="shared" si="14"/>
        <v>1996.9119487183332</v>
      </c>
      <c r="X43" s="26">
        <f t="shared" si="15"/>
        <v>2.0418322584032036</v>
      </c>
    </row>
    <row r="44" spans="1:24" s="22" customFormat="1" x14ac:dyDescent="0.25">
      <c r="A44" s="22">
        <v>20230615</v>
      </c>
      <c r="B44" s="22" t="s">
        <v>17</v>
      </c>
      <c r="C44" s="22">
        <v>4</v>
      </c>
      <c r="D44" s="22" t="s">
        <v>31</v>
      </c>
      <c r="E44" s="22" t="s">
        <v>27</v>
      </c>
      <c r="F44" s="22" t="s">
        <v>24</v>
      </c>
      <c r="G44" s="22">
        <v>10</v>
      </c>
      <c r="J44" s="23">
        <v>0.25</v>
      </c>
      <c r="K44" s="22">
        <v>0.11</v>
      </c>
      <c r="L44" s="27">
        <v>0.40600000000000003</v>
      </c>
      <c r="M44" s="27">
        <v>0.40100000000000002</v>
      </c>
      <c r="N44" s="27">
        <v>2.6593999999999998</v>
      </c>
      <c r="O44" s="27">
        <v>2.6543999999999999</v>
      </c>
      <c r="P44" s="22">
        <f t="shared" si="4"/>
        <v>2.2533999999999996</v>
      </c>
      <c r="Q44" s="22">
        <f t="shared" si="5"/>
        <v>2.2534000000000001</v>
      </c>
      <c r="R44" s="22">
        <f t="shared" si="0"/>
        <v>2.2534000000000001</v>
      </c>
      <c r="S44" s="22">
        <f t="shared" si="1"/>
        <v>1.2071001099214267</v>
      </c>
      <c r="T44" s="22">
        <f t="shared" si="2"/>
        <v>413.19036762610438</v>
      </c>
      <c r="U44" s="22">
        <f t="shared" si="3"/>
        <v>173.53995440296384</v>
      </c>
      <c r="V44" s="25">
        <f t="shared" si="16"/>
        <v>1735.3995440296385</v>
      </c>
      <c r="W44" s="22">
        <f t="shared" si="14"/>
        <v>1697.2207540609863</v>
      </c>
      <c r="X44" s="26">
        <f t="shared" si="15"/>
        <v>1.7353995440296386</v>
      </c>
    </row>
    <row r="45" spans="1:24" s="22" customFormat="1" x14ac:dyDescent="0.25">
      <c r="A45" s="22">
        <v>20230615</v>
      </c>
      <c r="B45" s="22" t="s">
        <v>17</v>
      </c>
      <c r="C45" s="22">
        <v>5</v>
      </c>
      <c r="D45" s="22" t="s">
        <v>31</v>
      </c>
      <c r="E45" s="22" t="s">
        <v>27</v>
      </c>
      <c r="F45" s="22" t="s">
        <v>24</v>
      </c>
      <c r="G45" s="22">
        <v>10</v>
      </c>
      <c r="J45" s="23">
        <v>0.25</v>
      </c>
      <c r="K45" s="23">
        <v>0.11</v>
      </c>
      <c r="L45" s="27">
        <v>0.54300000000000004</v>
      </c>
      <c r="M45" s="27">
        <v>0.54100000000000004</v>
      </c>
      <c r="N45" s="27">
        <v>2.8096000000000001</v>
      </c>
      <c r="O45" s="27">
        <v>2.8332000000000006</v>
      </c>
      <c r="P45" s="22">
        <f t="shared" si="4"/>
        <v>2.2665999999999999</v>
      </c>
      <c r="Q45" s="22">
        <f t="shared" si="5"/>
        <v>2.2922000000000007</v>
      </c>
      <c r="R45" s="22">
        <f t="shared" si="0"/>
        <v>2.2794000000000003</v>
      </c>
      <c r="S45" s="22">
        <f t="shared" si="1"/>
        <v>1.2210277760516997</v>
      </c>
      <c r="T45" s="22">
        <f t="shared" si="2"/>
        <v>417.95780774249681</v>
      </c>
      <c r="U45" s="22">
        <f t="shared" si="3"/>
        <v>175.54227925184864</v>
      </c>
      <c r="V45" s="25">
        <f t="shared" si="16"/>
        <v>1755.4227925184864</v>
      </c>
      <c r="W45" s="22">
        <f t="shared" si="14"/>
        <v>1716.8034910830795</v>
      </c>
      <c r="X45" s="26">
        <f t="shared" si="15"/>
        <v>1.7554227925184864</v>
      </c>
    </row>
    <row r="46" spans="1:24" s="22" customFormat="1" x14ac:dyDescent="0.25">
      <c r="A46" s="22">
        <v>20230615</v>
      </c>
      <c r="B46" s="22" t="s">
        <v>17</v>
      </c>
      <c r="C46" s="22">
        <v>6</v>
      </c>
      <c r="D46" s="22" t="s">
        <v>31</v>
      </c>
      <c r="E46" s="22" t="s">
        <v>27</v>
      </c>
      <c r="F46" s="22" t="s">
        <v>24</v>
      </c>
      <c r="G46" s="22">
        <v>10</v>
      </c>
      <c r="J46" s="23">
        <v>0.25</v>
      </c>
      <c r="K46" s="23">
        <v>0.11</v>
      </c>
      <c r="L46" s="27">
        <v>0.56899999999999995</v>
      </c>
      <c r="M46" s="27">
        <v>0.57299999999999995</v>
      </c>
      <c r="N46" s="27">
        <v>3.1811999999999996</v>
      </c>
      <c r="O46" s="27">
        <v>3.2158000000000002</v>
      </c>
      <c r="P46" s="22">
        <f t="shared" si="4"/>
        <v>2.6121999999999996</v>
      </c>
      <c r="Q46" s="22">
        <f t="shared" si="5"/>
        <v>2.6428000000000003</v>
      </c>
      <c r="R46" s="22">
        <f t="shared" si="0"/>
        <v>2.6274999999999999</v>
      </c>
      <c r="S46" s="22">
        <f t="shared" si="1"/>
        <v>1.4074977983573922</v>
      </c>
      <c r="T46" s="22">
        <f t="shared" si="2"/>
        <v>481.78649637773538</v>
      </c>
      <c r="U46" s="22">
        <f t="shared" si="3"/>
        <v>202.35032847864886</v>
      </c>
      <c r="V46" s="25">
        <f t="shared" si="16"/>
        <v>2023.5032847864886</v>
      </c>
      <c r="W46" s="22">
        <f t="shared" si="14"/>
        <v>1978.9862125211857</v>
      </c>
      <c r="X46" s="26">
        <f t="shared" si="15"/>
        <v>2.0235032847864884</v>
      </c>
    </row>
    <row r="47" spans="1:24" s="22" customFormat="1" x14ac:dyDescent="0.25">
      <c r="A47" s="22">
        <v>20230615</v>
      </c>
      <c r="B47" s="22" t="s">
        <v>17</v>
      </c>
      <c r="C47" s="22">
        <v>1</v>
      </c>
      <c r="D47" s="22" t="s">
        <v>30</v>
      </c>
      <c r="E47" s="22" t="s">
        <v>27</v>
      </c>
      <c r="F47" s="22" t="s">
        <v>24</v>
      </c>
      <c r="G47" s="22">
        <v>10</v>
      </c>
      <c r="J47" s="23">
        <v>0.25</v>
      </c>
      <c r="K47" s="22">
        <v>0.11</v>
      </c>
      <c r="L47" s="27">
        <v>0.56299999999999994</v>
      </c>
      <c r="M47" s="27">
        <v>0.59</v>
      </c>
      <c r="N47" s="27">
        <v>1.4012</v>
      </c>
      <c r="O47" s="27">
        <v>1.4489999999999998</v>
      </c>
      <c r="P47" s="22">
        <f t="shared" si="4"/>
        <v>0.83820000000000006</v>
      </c>
      <c r="Q47" s="22">
        <f t="shared" si="5"/>
        <v>0.85899999999999987</v>
      </c>
      <c r="R47" s="22">
        <f t="shared" si="0"/>
        <v>0.84860000000000002</v>
      </c>
      <c r="S47" s="22">
        <f t="shared" si="1"/>
        <v>0.45457759531344749</v>
      </c>
      <c r="T47" s="22">
        <f t="shared" si="2"/>
        <v>155.6019108757931</v>
      </c>
      <c r="U47" s="22">
        <f t="shared" si="3"/>
        <v>65.352802567833095</v>
      </c>
      <c r="V47" s="25">
        <f t="shared" si="16"/>
        <v>653.52802567833101</v>
      </c>
      <c r="W47" s="22">
        <f t="shared" si="14"/>
        <v>639.15040911340759</v>
      </c>
      <c r="X47" s="26">
        <f t="shared" si="15"/>
        <v>0.65352802567833101</v>
      </c>
    </row>
    <row r="48" spans="1:24" s="22" customFormat="1" x14ac:dyDescent="0.25">
      <c r="A48" s="22">
        <v>20230615</v>
      </c>
      <c r="B48" s="22" t="s">
        <v>17</v>
      </c>
      <c r="C48" s="22">
        <v>2</v>
      </c>
      <c r="D48" s="22" t="s">
        <v>30</v>
      </c>
      <c r="E48" s="22" t="s">
        <v>27</v>
      </c>
      <c r="F48" s="22" t="s">
        <v>24</v>
      </c>
      <c r="G48" s="22">
        <v>10</v>
      </c>
      <c r="J48" s="23">
        <v>0.25</v>
      </c>
      <c r="K48" s="23">
        <v>0.11</v>
      </c>
      <c r="L48" s="27">
        <v>0.69099999999999995</v>
      </c>
      <c r="M48" s="27">
        <v>0.70299999999999996</v>
      </c>
      <c r="N48" s="27">
        <v>3.1633999999999998</v>
      </c>
      <c r="O48" s="27">
        <v>3.2186000000000008</v>
      </c>
      <c r="P48" s="22">
        <f t="shared" si="4"/>
        <v>2.4723999999999999</v>
      </c>
      <c r="Q48" s="22">
        <f t="shared" si="5"/>
        <v>2.5156000000000009</v>
      </c>
      <c r="R48" s="22">
        <f t="shared" si="0"/>
        <v>2.4940000000000007</v>
      </c>
      <c r="S48" s="22">
        <f t="shared" si="1"/>
        <v>1.3359845895731066</v>
      </c>
      <c r="T48" s="22">
        <f t="shared" si="2"/>
        <v>457.30752501087443</v>
      </c>
      <c r="U48" s="22">
        <f t="shared" si="3"/>
        <v>192.06916050456726</v>
      </c>
      <c r="V48" s="25">
        <f t="shared" si="16"/>
        <v>1920.6916050456725</v>
      </c>
      <c r="W48" s="22">
        <f t="shared" si="14"/>
        <v>1878.4363897346677</v>
      </c>
      <c r="X48" s="26">
        <f t="shared" si="15"/>
        <v>1.9206916050456726</v>
      </c>
    </row>
    <row r="49" spans="1:24" s="22" customFormat="1" x14ac:dyDescent="0.25">
      <c r="A49" s="22">
        <v>20230615</v>
      </c>
      <c r="B49" s="22" t="s">
        <v>17</v>
      </c>
      <c r="C49" s="22">
        <v>3</v>
      </c>
      <c r="D49" s="22" t="s">
        <v>30</v>
      </c>
      <c r="E49" s="22" t="s">
        <v>27</v>
      </c>
      <c r="F49" s="22" t="s">
        <v>24</v>
      </c>
      <c r="G49" s="22">
        <v>10</v>
      </c>
      <c r="J49" s="23">
        <v>0.25</v>
      </c>
      <c r="K49" s="23">
        <v>0.11</v>
      </c>
      <c r="L49" s="27">
        <v>0.51600000000000001</v>
      </c>
      <c r="M49" s="27">
        <v>0.51</v>
      </c>
      <c r="N49" s="27">
        <v>2.1768000000000001</v>
      </c>
      <c r="O49" s="27">
        <v>2.1382000000000003</v>
      </c>
      <c r="P49" s="22">
        <f t="shared" si="4"/>
        <v>1.6608000000000001</v>
      </c>
      <c r="Q49" s="22">
        <f t="shared" si="5"/>
        <v>1.6282000000000003</v>
      </c>
      <c r="R49" s="22">
        <f t="shared" si="0"/>
        <v>1.6445000000000003</v>
      </c>
      <c r="S49" s="22">
        <f t="shared" si="1"/>
        <v>0.88092488273976488</v>
      </c>
      <c r="T49" s="22">
        <f t="shared" si="2"/>
        <v>301.54058736182151</v>
      </c>
      <c r="U49" s="22">
        <f t="shared" si="3"/>
        <v>126.64704669196503</v>
      </c>
      <c r="V49" s="25">
        <f t="shared" si="16"/>
        <v>1266.4704669196503</v>
      </c>
      <c r="W49" s="22">
        <f t="shared" si="14"/>
        <v>1238.608116647418</v>
      </c>
      <c r="X49" s="26">
        <f t="shared" si="15"/>
        <v>1.2664704669196503</v>
      </c>
    </row>
    <row r="50" spans="1:24" s="22" customFormat="1" x14ac:dyDescent="0.25">
      <c r="A50" s="22">
        <v>20230615</v>
      </c>
      <c r="B50" s="22" t="s">
        <v>17</v>
      </c>
      <c r="C50" s="22">
        <v>4</v>
      </c>
      <c r="D50" s="22" t="s">
        <v>30</v>
      </c>
      <c r="E50" s="22" t="s">
        <v>27</v>
      </c>
      <c r="F50" s="22" t="s">
        <v>24</v>
      </c>
      <c r="G50" s="22">
        <v>10</v>
      </c>
      <c r="J50" s="23">
        <v>0.25</v>
      </c>
      <c r="K50" s="22">
        <v>0.11</v>
      </c>
      <c r="L50" s="27">
        <v>1.071</v>
      </c>
      <c r="M50" s="27">
        <v>1.0860000000000001</v>
      </c>
      <c r="N50" s="27">
        <v>3.5223999999999998</v>
      </c>
      <c r="O50" s="27">
        <v>3.5453999999999999</v>
      </c>
      <c r="P50" s="22">
        <f t="shared" si="4"/>
        <v>2.4513999999999996</v>
      </c>
      <c r="Q50" s="22">
        <f t="shared" si="5"/>
        <v>2.4593999999999996</v>
      </c>
      <c r="R50" s="22">
        <f t="shared" si="0"/>
        <v>2.4553999999999996</v>
      </c>
      <c r="S50" s="22">
        <f t="shared" si="1"/>
        <v>1.3153073621643161</v>
      </c>
      <c r="T50" s="22">
        <f t="shared" si="2"/>
        <v>450.22971006884541</v>
      </c>
      <c r="U50" s="22">
        <f t="shared" si="3"/>
        <v>189.09647822891506</v>
      </c>
      <c r="V50" s="25">
        <f t="shared" si="16"/>
        <v>1890.9647822891507</v>
      </c>
      <c r="W50" s="22">
        <f t="shared" si="14"/>
        <v>1849.3635570787892</v>
      </c>
      <c r="X50" s="26">
        <f t="shared" si="15"/>
        <v>1.8909647822891507</v>
      </c>
    </row>
    <row r="51" spans="1:24" s="22" customFormat="1" x14ac:dyDescent="0.25">
      <c r="A51" s="22">
        <v>20230615</v>
      </c>
      <c r="B51" s="22" t="s">
        <v>17</v>
      </c>
      <c r="C51" s="22">
        <v>5</v>
      </c>
      <c r="D51" s="22" t="s">
        <v>30</v>
      </c>
      <c r="E51" s="22" t="s">
        <v>27</v>
      </c>
      <c r="F51" s="22" t="s">
        <v>24</v>
      </c>
      <c r="G51" s="22">
        <v>10</v>
      </c>
      <c r="J51" s="23">
        <v>0.25</v>
      </c>
      <c r="K51" s="23">
        <v>0.11</v>
      </c>
      <c r="L51" s="27">
        <v>0.72499999999999998</v>
      </c>
      <c r="M51" s="27">
        <v>0.72699999999999998</v>
      </c>
      <c r="N51" s="27">
        <v>2.4876</v>
      </c>
      <c r="O51" s="27">
        <v>2.4812000000000003</v>
      </c>
      <c r="P51" s="22">
        <f t="shared" si="4"/>
        <v>1.7625999999999999</v>
      </c>
      <c r="Q51" s="22">
        <f t="shared" si="5"/>
        <v>1.7542000000000004</v>
      </c>
      <c r="R51" s="22">
        <f t="shared" si="0"/>
        <v>1.7584000000000002</v>
      </c>
      <c r="S51" s="22">
        <f t="shared" si="1"/>
        <v>0.94193877397969139</v>
      </c>
      <c r="T51" s="22">
        <f t="shared" si="2"/>
        <v>322.42564233324839</v>
      </c>
      <c r="U51" s="22">
        <f t="shared" si="3"/>
        <v>135.41876977996432</v>
      </c>
      <c r="V51" s="25">
        <f t="shared" si="16"/>
        <v>1354.1876977996433</v>
      </c>
      <c r="W51" s="22">
        <f t="shared" si="14"/>
        <v>1324.3955684480509</v>
      </c>
      <c r="X51" s="26">
        <f t="shared" si="15"/>
        <v>1.3541876977996432</v>
      </c>
    </row>
    <row r="52" spans="1:24" s="22" customFormat="1" x14ac:dyDescent="0.25">
      <c r="A52" s="22">
        <v>20230615</v>
      </c>
      <c r="B52" s="22" t="s">
        <v>17</v>
      </c>
      <c r="C52" s="22">
        <v>6</v>
      </c>
      <c r="D52" s="22" t="s">
        <v>30</v>
      </c>
      <c r="E52" s="22" t="s">
        <v>27</v>
      </c>
      <c r="F52" s="22" t="s">
        <v>24</v>
      </c>
      <c r="G52" s="22">
        <v>10</v>
      </c>
      <c r="J52" s="23">
        <v>0.25</v>
      </c>
      <c r="K52" s="23">
        <v>0.11</v>
      </c>
      <c r="L52" s="27">
        <v>0.90700000000000003</v>
      </c>
      <c r="M52" s="27">
        <v>0.95799999999999996</v>
      </c>
      <c r="N52" s="27">
        <v>3.0966</v>
      </c>
      <c r="O52" s="27">
        <v>3.2169999999999996</v>
      </c>
      <c r="P52" s="22">
        <f t="shared" si="4"/>
        <v>2.1896</v>
      </c>
      <c r="Q52" s="22">
        <f t="shared" si="5"/>
        <v>2.2589999999999995</v>
      </c>
      <c r="R52" s="22">
        <f t="shared" si="0"/>
        <v>2.2242999999999995</v>
      </c>
      <c r="S52" s="22">
        <f t="shared" si="1"/>
        <v>1.1915118374448515</v>
      </c>
      <c r="T52" s="22">
        <f t="shared" si="2"/>
        <v>407.85450195737269</v>
      </c>
      <c r="U52" s="22">
        <f t="shared" si="3"/>
        <v>171.29889082209652</v>
      </c>
      <c r="V52" s="25">
        <f t="shared" si="16"/>
        <v>1712.9889082209652</v>
      </c>
      <c r="W52" s="22">
        <f t="shared" si="14"/>
        <v>1675.3031522401038</v>
      </c>
      <c r="X52" s="26">
        <f t="shared" si="15"/>
        <v>1.7129889082209653</v>
      </c>
    </row>
    <row r="53" spans="1:24" x14ac:dyDescent="0.25">
      <c r="A53" s="3">
        <v>20230606</v>
      </c>
      <c r="B53" s="3" t="s">
        <v>17</v>
      </c>
      <c r="C53" s="3">
        <v>1</v>
      </c>
      <c r="D53" s="3" t="s">
        <v>29</v>
      </c>
      <c r="E53" s="3" t="s">
        <v>27</v>
      </c>
      <c r="F53" s="3" t="s">
        <v>25</v>
      </c>
      <c r="G53" s="5">
        <v>1.8</v>
      </c>
      <c r="H53" s="5">
        <v>10</v>
      </c>
      <c r="I53" s="5">
        <v>0.5</v>
      </c>
      <c r="J53" s="5">
        <v>0.25</v>
      </c>
      <c r="K53" s="5">
        <v>1.4999999999999999E-2</v>
      </c>
      <c r="L53" s="12">
        <v>0.30099999999999999</v>
      </c>
      <c r="M53" s="12">
        <v>0.30299999999999999</v>
      </c>
      <c r="N53" s="12">
        <v>0.313</v>
      </c>
      <c r="O53" s="12">
        <v>0.317</v>
      </c>
      <c r="P53" s="3">
        <f t="shared" si="4"/>
        <v>1.2000000000000011E-2</v>
      </c>
      <c r="Q53" s="3">
        <f t="shared" si="5"/>
        <v>1.4000000000000012E-2</v>
      </c>
      <c r="R53" s="3">
        <f t="shared" si="0"/>
        <v>1.3000000000000012E-2</v>
      </c>
      <c r="S53" s="3">
        <f t="shared" si="1"/>
        <v>5.1068109144334239E-2</v>
      </c>
      <c r="T53" s="3">
        <f t="shared" si="2"/>
        <v>17.480613760105612</v>
      </c>
      <c r="U53" s="3">
        <f t="shared" si="3"/>
        <v>7.3418577792443571</v>
      </c>
      <c r="V53" s="14">
        <f t="shared" si="6"/>
        <v>3.6709288896221786</v>
      </c>
      <c r="W53" s="3">
        <f t="shared" si="7"/>
        <v>3.4506731562448478</v>
      </c>
      <c r="X53" s="21"/>
    </row>
    <row r="54" spans="1:24" x14ac:dyDescent="0.25">
      <c r="A54" s="3">
        <v>20230606</v>
      </c>
      <c r="B54" s="3" t="s">
        <v>17</v>
      </c>
      <c r="C54" s="3">
        <v>2</v>
      </c>
      <c r="D54" s="3" t="s">
        <v>29</v>
      </c>
      <c r="E54" s="3" t="s">
        <v>27</v>
      </c>
      <c r="F54" s="3" t="s">
        <v>25</v>
      </c>
      <c r="G54" s="5">
        <v>1.8</v>
      </c>
      <c r="H54" s="5">
        <v>10</v>
      </c>
      <c r="I54" s="5">
        <v>0.5</v>
      </c>
      <c r="J54" s="5">
        <v>0.25</v>
      </c>
      <c r="K54" s="5">
        <v>1.4999999999999999E-2</v>
      </c>
      <c r="L54" s="12">
        <v>0.29199999999999998</v>
      </c>
      <c r="M54" s="12">
        <v>0.29599999999999999</v>
      </c>
      <c r="N54" s="12">
        <v>0.29399999999999998</v>
      </c>
      <c r="O54" s="12">
        <v>0.29799999999999999</v>
      </c>
      <c r="P54" s="3">
        <f t="shared" si="4"/>
        <v>2.0000000000000018E-3</v>
      </c>
      <c r="Q54" s="3">
        <f t="shared" si="5"/>
        <v>2.0000000000000018E-3</v>
      </c>
      <c r="R54" s="3">
        <f t="shared" si="0"/>
        <v>2.0000000000000018E-3</v>
      </c>
      <c r="S54" s="3">
        <f t="shared" si="1"/>
        <v>7.8566321760514205E-3</v>
      </c>
      <c r="T54" s="3">
        <f t="shared" si="2"/>
        <v>2.6893251938624014</v>
      </c>
      <c r="U54" s="3">
        <f t="shared" si="3"/>
        <v>1.1295165814222086</v>
      </c>
      <c r="V54" s="14">
        <f t="shared" si="6"/>
        <v>0.56475829071110428</v>
      </c>
      <c r="W54" s="3">
        <f t="shared" si="7"/>
        <v>0.53087279326843795</v>
      </c>
      <c r="X54" s="21"/>
    </row>
    <row r="55" spans="1:24" x14ac:dyDescent="0.25">
      <c r="A55" s="3">
        <v>20230606</v>
      </c>
      <c r="B55" s="3" t="s">
        <v>17</v>
      </c>
      <c r="C55" s="3">
        <v>3</v>
      </c>
      <c r="D55" s="3" t="s">
        <v>29</v>
      </c>
      <c r="E55" s="3" t="s">
        <v>27</v>
      </c>
      <c r="F55" s="3" t="s">
        <v>25</v>
      </c>
      <c r="G55" s="5">
        <v>1.8</v>
      </c>
      <c r="H55" s="5">
        <v>10</v>
      </c>
      <c r="I55" s="5">
        <v>0.5</v>
      </c>
      <c r="J55" s="5">
        <v>0.25</v>
      </c>
      <c r="K55" s="5">
        <v>1.4999999999999999E-2</v>
      </c>
      <c r="L55" s="12">
        <v>0.27900000000000003</v>
      </c>
      <c r="M55" s="12">
        <v>0.28299999999999997</v>
      </c>
      <c r="N55" s="12">
        <v>0.29599999999999999</v>
      </c>
      <c r="O55" s="12">
        <v>0.29299999999999998</v>
      </c>
      <c r="P55" s="3">
        <f t="shared" si="4"/>
        <v>1.699999999999996E-2</v>
      </c>
      <c r="Q55" s="3">
        <f t="shared" si="5"/>
        <v>1.0000000000000009E-2</v>
      </c>
      <c r="R55" s="3">
        <f t="shared" si="0"/>
        <v>1.3499999999999984E-2</v>
      </c>
      <c r="S55" s="3">
        <f t="shared" si="1"/>
        <v>5.3032267188346985E-2</v>
      </c>
      <c r="T55" s="3">
        <f t="shared" si="2"/>
        <v>18.152945058571174</v>
      </c>
      <c r="U55" s="3">
        <f t="shared" si="3"/>
        <v>7.6242369245998924</v>
      </c>
      <c r="V55" s="14">
        <f t="shared" si="6"/>
        <v>3.8121184622999462</v>
      </c>
      <c r="W55" s="3">
        <f t="shared" si="7"/>
        <v>3.5833913545619493</v>
      </c>
      <c r="X55" s="21"/>
    </row>
    <row r="56" spans="1:24" x14ac:dyDescent="0.25">
      <c r="A56" s="3">
        <v>20230606</v>
      </c>
      <c r="B56" s="3" t="s">
        <v>17</v>
      </c>
      <c r="C56" s="3">
        <v>4</v>
      </c>
      <c r="D56" s="3" t="s">
        <v>29</v>
      </c>
      <c r="E56" s="3" t="s">
        <v>27</v>
      </c>
      <c r="F56" s="3" t="s">
        <v>25</v>
      </c>
      <c r="G56" s="5">
        <v>1.8</v>
      </c>
      <c r="H56" s="5">
        <v>10</v>
      </c>
      <c r="I56" s="5">
        <v>0.5</v>
      </c>
      <c r="J56" s="5">
        <v>0.25</v>
      </c>
      <c r="K56" s="5">
        <v>1.4999999999999999E-2</v>
      </c>
      <c r="L56" s="12">
        <v>0.36599999999999999</v>
      </c>
      <c r="M56" s="12">
        <v>0.373</v>
      </c>
      <c r="N56" s="12">
        <v>0.38100000000000001</v>
      </c>
      <c r="O56" s="12">
        <v>0.38300000000000001</v>
      </c>
      <c r="P56" s="3">
        <f t="shared" si="4"/>
        <v>1.5000000000000013E-2</v>
      </c>
      <c r="Q56" s="3">
        <f t="shared" si="5"/>
        <v>1.0000000000000009E-2</v>
      </c>
      <c r="R56" s="3">
        <f t="shared" si="0"/>
        <v>1.2500000000000011E-2</v>
      </c>
      <c r="S56" s="3">
        <f t="shared" si="1"/>
        <v>4.9103951100321383E-2</v>
      </c>
      <c r="T56" s="3">
        <f t="shared" si="2"/>
        <v>16.808282461640012</v>
      </c>
      <c r="U56" s="3">
        <f t="shared" si="3"/>
        <v>7.0594786338888049</v>
      </c>
      <c r="V56" s="14">
        <f t="shared" si="6"/>
        <v>3.5297393169444025</v>
      </c>
      <c r="W56" s="3">
        <f t="shared" si="7"/>
        <v>3.3179549579277383</v>
      </c>
      <c r="X56" s="21"/>
    </row>
    <row r="57" spans="1:24" x14ac:dyDescent="0.25">
      <c r="A57" s="3">
        <v>20230606</v>
      </c>
      <c r="B57" s="3" t="s">
        <v>17</v>
      </c>
      <c r="C57" s="3">
        <v>5</v>
      </c>
      <c r="D57" s="3" t="s">
        <v>29</v>
      </c>
      <c r="E57" s="3" t="s">
        <v>27</v>
      </c>
      <c r="F57" s="3" t="s">
        <v>25</v>
      </c>
      <c r="G57" s="5">
        <v>1.8</v>
      </c>
      <c r="H57" s="5">
        <v>10</v>
      </c>
      <c r="I57" s="5">
        <v>0.5</v>
      </c>
      <c r="J57" s="5">
        <v>0.25</v>
      </c>
      <c r="K57" s="5">
        <v>1.4999999999999999E-2</v>
      </c>
      <c r="L57" s="12">
        <v>0.32100000000000001</v>
      </c>
      <c r="M57" s="12">
        <v>0.313</v>
      </c>
      <c r="N57" s="12">
        <v>0.33300000000000002</v>
      </c>
      <c r="O57" s="12">
        <v>0.33200000000000002</v>
      </c>
      <c r="P57" s="3">
        <f t="shared" si="4"/>
        <v>1.2000000000000011E-2</v>
      </c>
      <c r="Q57" s="3">
        <f t="shared" si="5"/>
        <v>1.9000000000000017E-2</v>
      </c>
      <c r="R57" s="3">
        <f t="shared" si="0"/>
        <v>1.5500000000000014E-2</v>
      </c>
      <c r="S57" s="3">
        <f t="shared" si="1"/>
        <v>6.0888899364398508E-2</v>
      </c>
      <c r="T57" s="3">
        <f t="shared" si="2"/>
        <v>20.842270252433611</v>
      </c>
      <c r="U57" s="3">
        <f t="shared" si="3"/>
        <v>8.7537535060221163</v>
      </c>
      <c r="V57" s="14">
        <f t="shared" si="6"/>
        <v>4.3768767530110582</v>
      </c>
      <c r="W57" s="3">
        <f t="shared" si="7"/>
        <v>4.1142641478303945</v>
      </c>
      <c r="X57" s="21"/>
    </row>
    <row r="58" spans="1:24" x14ac:dyDescent="0.25">
      <c r="A58" s="3">
        <v>20230606</v>
      </c>
      <c r="B58" s="3" t="s">
        <v>17</v>
      </c>
      <c r="C58" s="3">
        <v>6</v>
      </c>
      <c r="D58" s="3" t="s">
        <v>29</v>
      </c>
      <c r="E58" s="3" t="s">
        <v>27</v>
      </c>
      <c r="F58" s="3" t="s">
        <v>25</v>
      </c>
      <c r="G58" s="5">
        <v>1.8</v>
      </c>
      <c r="H58" s="5">
        <v>10</v>
      </c>
      <c r="I58" s="5">
        <v>0.5</v>
      </c>
      <c r="J58" s="5">
        <v>0.25</v>
      </c>
      <c r="K58" s="5">
        <v>1.4999999999999999E-2</v>
      </c>
      <c r="L58" s="12">
        <v>0.33300000000000002</v>
      </c>
      <c r="M58" s="12">
        <v>0.33900000000000002</v>
      </c>
      <c r="N58" s="12">
        <v>0.35699999999999998</v>
      </c>
      <c r="O58" s="12">
        <v>0.35799999999999998</v>
      </c>
      <c r="P58" s="3">
        <f t="shared" si="4"/>
        <v>2.3999999999999966E-2</v>
      </c>
      <c r="Q58" s="3">
        <f t="shared" si="5"/>
        <v>1.8999999999999961E-2</v>
      </c>
      <c r="R58" s="3">
        <f t="shared" si="0"/>
        <v>2.1499999999999964E-2</v>
      </c>
      <c r="S58" s="3">
        <f t="shared" si="1"/>
        <v>8.4458795892552563E-2</v>
      </c>
      <c r="T58" s="3">
        <f t="shared" si="2"/>
        <v>28.910245834020742</v>
      </c>
      <c r="U58" s="3">
        <f t="shared" si="3"/>
        <v>12.142303250288711</v>
      </c>
      <c r="V58" s="14">
        <f t="shared" si="6"/>
        <v>6.0711516251443554</v>
      </c>
      <c r="W58" s="3">
        <f t="shared" si="7"/>
        <v>5.7068825276356936</v>
      </c>
      <c r="X58" s="21"/>
    </row>
    <row r="59" spans="1:24" s="22" customFormat="1" x14ac:dyDescent="0.25">
      <c r="A59" s="22">
        <v>20230606</v>
      </c>
      <c r="B59" s="22" t="s">
        <v>17</v>
      </c>
      <c r="C59" s="22">
        <v>1</v>
      </c>
      <c r="D59" s="22" t="s">
        <v>30</v>
      </c>
      <c r="E59" s="22" t="s">
        <v>27</v>
      </c>
      <c r="F59" s="22" t="s">
        <v>25</v>
      </c>
      <c r="G59" s="23">
        <v>10</v>
      </c>
      <c r="J59" s="23">
        <v>0.25</v>
      </c>
      <c r="K59" s="23">
        <v>0.11</v>
      </c>
      <c r="L59" s="24">
        <v>0.28999999999999998</v>
      </c>
      <c r="M59" s="24">
        <v>0.30599999999999999</v>
      </c>
      <c r="N59" s="24">
        <v>0.51300000000000001</v>
      </c>
      <c r="O59" s="24">
        <v>0.57499999999999996</v>
      </c>
      <c r="P59" s="22">
        <f t="shared" si="4"/>
        <v>0.22300000000000003</v>
      </c>
      <c r="Q59" s="22">
        <f t="shared" si="5"/>
        <v>0.26899999999999996</v>
      </c>
      <c r="R59" s="22">
        <f t="shared" si="0"/>
        <v>0.246</v>
      </c>
      <c r="S59" s="22">
        <f t="shared" si="1"/>
        <v>0.13177714877104416</v>
      </c>
      <c r="T59" s="22">
        <f t="shared" si="2"/>
        <v>45.107318024328414</v>
      </c>
      <c r="U59" s="22">
        <f t="shared" si="3"/>
        <v>18.945073570217932</v>
      </c>
      <c r="V59" s="25">
        <f>U59*G59</f>
        <v>189.45073570217932</v>
      </c>
      <c r="W59" s="22">
        <f t="shared" ref="W59:W75" si="17">U59*9.78</f>
        <v>185.28281951673137</v>
      </c>
      <c r="X59" s="26">
        <f t="shared" ref="X59:X75" si="18">V59/1000</f>
        <v>0.18945073570217932</v>
      </c>
    </row>
    <row r="60" spans="1:24" s="22" customFormat="1" x14ac:dyDescent="0.25">
      <c r="A60" s="22">
        <v>20230606</v>
      </c>
      <c r="B60" s="22" t="s">
        <v>17</v>
      </c>
      <c r="C60" s="22">
        <v>2</v>
      </c>
      <c r="D60" s="22" t="s">
        <v>30</v>
      </c>
      <c r="E60" s="22" t="s">
        <v>27</v>
      </c>
      <c r="F60" s="22" t="s">
        <v>25</v>
      </c>
      <c r="G60" s="23">
        <v>10</v>
      </c>
      <c r="J60" s="23">
        <v>0.25</v>
      </c>
      <c r="K60" s="23">
        <v>0.11</v>
      </c>
      <c r="L60" s="24">
        <v>0.34200000000000003</v>
      </c>
      <c r="M60" s="24">
        <v>0.34300000000000003</v>
      </c>
      <c r="N60" s="24">
        <v>0.503</v>
      </c>
      <c r="O60" s="24">
        <v>0.51100000000000001</v>
      </c>
      <c r="P60" s="22">
        <f t="shared" si="4"/>
        <v>0.16099999999999998</v>
      </c>
      <c r="Q60" s="22">
        <f t="shared" si="5"/>
        <v>0.16799999999999998</v>
      </c>
      <c r="R60" s="22">
        <f t="shared" si="0"/>
        <v>0.16449999999999998</v>
      </c>
      <c r="S60" s="22">
        <f t="shared" si="1"/>
        <v>8.8119272247303912E-2</v>
      </c>
      <c r="T60" s="22">
        <f t="shared" si="2"/>
        <v>30.16322689025213</v>
      </c>
      <c r="U60" s="22">
        <f t="shared" si="3"/>
        <v>12.668555293905895</v>
      </c>
      <c r="V60" s="25">
        <f t="shared" ref="V60:V75" si="19">U60*G60</f>
        <v>126.68555293905895</v>
      </c>
      <c r="W60" s="22">
        <f t="shared" si="17"/>
        <v>123.89847077439964</v>
      </c>
      <c r="X60" s="26">
        <f t="shared" si="18"/>
        <v>0.12668555293905895</v>
      </c>
    </row>
    <row r="61" spans="1:24" s="22" customFormat="1" x14ac:dyDescent="0.25">
      <c r="A61" s="22">
        <v>20230606</v>
      </c>
      <c r="B61" s="22" t="s">
        <v>17</v>
      </c>
      <c r="C61" s="22">
        <v>3</v>
      </c>
      <c r="D61" s="22" t="s">
        <v>30</v>
      </c>
      <c r="E61" s="22" t="s">
        <v>27</v>
      </c>
      <c r="F61" s="22" t="s">
        <v>25</v>
      </c>
      <c r="G61" s="23">
        <v>10</v>
      </c>
      <c r="J61" s="23">
        <v>0.25</v>
      </c>
      <c r="K61" s="23">
        <v>0.11</v>
      </c>
      <c r="L61" s="24">
        <v>0.29099999999999998</v>
      </c>
      <c r="M61" s="24">
        <v>0.30599999999999999</v>
      </c>
      <c r="N61" s="24">
        <v>0.38500000000000001</v>
      </c>
      <c r="O61" s="24">
        <v>0.438</v>
      </c>
      <c r="P61" s="22">
        <f t="shared" si="4"/>
        <v>9.4000000000000028E-2</v>
      </c>
      <c r="Q61" s="22">
        <f t="shared" si="5"/>
        <v>0.13200000000000001</v>
      </c>
      <c r="R61" s="22">
        <f t="shared" si="0"/>
        <v>0.11300000000000002</v>
      </c>
      <c r="S61" s="22">
        <f t="shared" si="1"/>
        <v>6.0531779720032486E-2</v>
      </c>
      <c r="T61" s="22">
        <f t="shared" si="2"/>
        <v>20.720028198167121</v>
      </c>
      <c r="U61" s="22">
        <f t="shared" si="3"/>
        <v>8.7024118432301911</v>
      </c>
      <c r="V61" s="25">
        <f t="shared" si="19"/>
        <v>87.024118432301918</v>
      </c>
      <c r="W61" s="22">
        <f t="shared" si="17"/>
        <v>85.10958782679127</v>
      </c>
      <c r="X61" s="26">
        <f t="shared" si="18"/>
        <v>8.7024118432301914E-2</v>
      </c>
    </row>
    <row r="62" spans="1:24" s="22" customFormat="1" x14ac:dyDescent="0.25">
      <c r="A62" s="22">
        <v>20230606</v>
      </c>
      <c r="B62" s="22" t="s">
        <v>17</v>
      </c>
      <c r="C62" s="22">
        <v>4</v>
      </c>
      <c r="D62" s="22" t="s">
        <v>30</v>
      </c>
      <c r="E62" s="22" t="s">
        <v>27</v>
      </c>
      <c r="F62" s="22" t="s">
        <v>25</v>
      </c>
      <c r="G62" s="23">
        <v>10</v>
      </c>
      <c r="J62" s="23">
        <v>0.25</v>
      </c>
      <c r="K62" s="23">
        <v>0.11</v>
      </c>
      <c r="L62" s="24">
        <v>0.28899999999999998</v>
      </c>
      <c r="M62" s="24">
        <v>0.308</v>
      </c>
      <c r="N62" s="24">
        <v>0.39600000000000002</v>
      </c>
      <c r="O62" s="24">
        <v>0.50700000000000001</v>
      </c>
      <c r="P62" s="22">
        <f t="shared" si="4"/>
        <v>0.10700000000000004</v>
      </c>
      <c r="Q62" s="22">
        <f t="shared" si="5"/>
        <v>0.19900000000000001</v>
      </c>
      <c r="R62" s="22">
        <f t="shared" si="0"/>
        <v>0.15300000000000002</v>
      </c>
      <c r="S62" s="22">
        <f t="shared" si="1"/>
        <v>8.1958958381990896E-2</v>
      </c>
      <c r="T62" s="22">
        <f t="shared" si="2"/>
        <v>28.054551454155483</v>
      </c>
      <c r="U62" s="22">
        <f t="shared" si="3"/>
        <v>11.782911610745302</v>
      </c>
      <c r="V62" s="25">
        <f t="shared" si="19"/>
        <v>117.82911610745302</v>
      </c>
      <c r="W62" s="22">
        <f t="shared" si="17"/>
        <v>115.23687555308905</v>
      </c>
      <c r="X62" s="26">
        <f t="shared" si="18"/>
        <v>0.11782911610745302</v>
      </c>
    </row>
    <row r="63" spans="1:24" s="22" customFormat="1" x14ac:dyDescent="0.25">
      <c r="A63" s="22">
        <v>20230606</v>
      </c>
      <c r="B63" s="22" t="s">
        <v>17</v>
      </c>
      <c r="C63" s="22">
        <v>5</v>
      </c>
      <c r="D63" s="22" t="s">
        <v>30</v>
      </c>
      <c r="E63" s="22" t="s">
        <v>27</v>
      </c>
      <c r="F63" s="22" t="s">
        <v>25</v>
      </c>
      <c r="G63" s="23">
        <v>10</v>
      </c>
      <c r="J63" s="23">
        <v>0.25</v>
      </c>
      <c r="K63" s="23">
        <v>0.11</v>
      </c>
      <c r="L63" s="24">
        <v>0.314</v>
      </c>
      <c r="M63" s="24">
        <v>0.32300000000000001</v>
      </c>
      <c r="N63" s="24">
        <v>0.42199999999999999</v>
      </c>
      <c r="O63" s="24">
        <v>0.44500000000000001</v>
      </c>
      <c r="P63" s="22">
        <f t="shared" si="4"/>
        <v>0.10799999999999998</v>
      </c>
      <c r="Q63" s="22">
        <f t="shared" si="5"/>
        <v>0.122</v>
      </c>
      <c r="R63" s="22">
        <f t="shared" si="0"/>
        <v>0.11499999999999999</v>
      </c>
      <c r="S63" s="22">
        <f t="shared" si="1"/>
        <v>6.1603138653130399E-2</v>
      </c>
      <c r="T63" s="22">
        <f t="shared" si="2"/>
        <v>21.086754360966538</v>
      </c>
      <c r="U63" s="22">
        <f t="shared" si="3"/>
        <v>8.8564368316059454</v>
      </c>
      <c r="V63" s="25">
        <f t="shared" si="19"/>
        <v>88.564368316059458</v>
      </c>
      <c r="W63" s="22">
        <f t="shared" si="17"/>
        <v>86.615952213106141</v>
      </c>
      <c r="X63" s="26">
        <f t="shared" si="18"/>
        <v>8.8564368316059461E-2</v>
      </c>
    </row>
    <row r="64" spans="1:24" s="22" customFormat="1" x14ac:dyDescent="0.25">
      <c r="A64" s="22">
        <v>20230606</v>
      </c>
      <c r="B64" s="22" t="s">
        <v>17</v>
      </c>
      <c r="C64" s="22">
        <v>6</v>
      </c>
      <c r="D64" s="22" t="s">
        <v>30</v>
      </c>
      <c r="E64" s="22" t="s">
        <v>27</v>
      </c>
      <c r="F64" s="22" t="s">
        <v>25</v>
      </c>
      <c r="G64" s="23">
        <v>10</v>
      </c>
      <c r="J64" s="23">
        <v>0.25</v>
      </c>
      <c r="K64" s="23">
        <v>0.11</v>
      </c>
      <c r="L64" s="24">
        <v>0.27500000000000002</v>
      </c>
      <c r="M64" s="24">
        <v>0.28100000000000003</v>
      </c>
      <c r="N64" s="24">
        <v>0.34799999999999998</v>
      </c>
      <c r="O64" s="24">
        <v>0.38100000000000001</v>
      </c>
      <c r="P64" s="22">
        <f t="shared" si="4"/>
        <v>7.2999999999999954E-2</v>
      </c>
      <c r="Q64" s="22">
        <f t="shared" si="5"/>
        <v>9.9999999999999978E-2</v>
      </c>
      <c r="R64" s="22">
        <f t="shared" si="0"/>
        <v>8.6499999999999966E-2</v>
      </c>
      <c r="S64" s="22">
        <f t="shared" si="1"/>
        <v>4.6336273856485019E-2</v>
      </c>
      <c r="T64" s="22">
        <f t="shared" si="2"/>
        <v>15.860906541074822</v>
      </c>
      <c r="U64" s="22">
        <f t="shared" si="3"/>
        <v>6.661580747251425</v>
      </c>
      <c r="V64" s="25">
        <f t="shared" si="19"/>
        <v>66.615807472514248</v>
      </c>
      <c r="W64" s="22">
        <f t="shared" si="17"/>
        <v>65.150259708118938</v>
      </c>
      <c r="X64" s="26">
        <f t="shared" si="18"/>
        <v>6.6615807472514249E-2</v>
      </c>
    </row>
    <row r="65" spans="1:24" s="22" customFormat="1" x14ac:dyDescent="0.25">
      <c r="A65" s="22">
        <v>20230606</v>
      </c>
      <c r="B65" s="22" t="s">
        <v>17</v>
      </c>
      <c r="C65" s="22">
        <v>1</v>
      </c>
      <c r="D65" s="22" t="s">
        <v>31</v>
      </c>
      <c r="E65" s="22" t="s">
        <v>27</v>
      </c>
      <c r="F65" s="22" t="s">
        <v>25</v>
      </c>
      <c r="G65" s="23">
        <v>10</v>
      </c>
      <c r="J65" s="23">
        <v>0.25</v>
      </c>
      <c r="K65" s="23">
        <v>0.11</v>
      </c>
      <c r="L65" s="24">
        <v>0.26500000000000001</v>
      </c>
      <c r="M65" s="24">
        <v>0.27</v>
      </c>
      <c r="N65" s="24">
        <v>0.35799999999999998</v>
      </c>
      <c r="O65" s="24">
        <v>0.39700000000000002</v>
      </c>
      <c r="P65" s="22">
        <f t="shared" si="4"/>
        <v>9.2999999999999972E-2</v>
      </c>
      <c r="Q65" s="22">
        <f t="shared" si="5"/>
        <v>0.127</v>
      </c>
      <c r="R65" s="22">
        <f t="shared" si="0"/>
        <v>0.10999999999999999</v>
      </c>
      <c r="S65" s="22">
        <f t="shared" si="1"/>
        <v>5.8924741320385596E-2</v>
      </c>
      <c r="T65" s="22">
        <f t="shared" si="2"/>
        <v>20.169938953967989</v>
      </c>
      <c r="U65" s="22">
        <f t="shared" si="3"/>
        <v>8.4713743606665552</v>
      </c>
      <c r="V65" s="25">
        <f t="shared" si="19"/>
        <v>84.71374360666556</v>
      </c>
      <c r="W65" s="22">
        <f t="shared" si="17"/>
        <v>82.850041247318899</v>
      </c>
      <c r="X65" s="26">
        <f t="shared" si="18"/>
        <v>8.4713743606665559E-2</v>
      </c>
    </row>
    <row r="66" spans="1:24" s="22" customFormat="1" x14ac:dyDescent="0.25">
      <c r="A66" s="22">
        <v>20230606</v>
      </c>
      <c r="B66" s="22" t="s">
        <v>17</v>
      </c>
      <c r="C66" s="22">
        <v>2</v>
      </c>
      <c r="D66" s="22" t="s">
        <v>31</v>
      </c>
      <c r="E66" s="22" t="s">
        <v>27</v>
      </c>
      <c r="F66" s="22" t="s">
        <v>25</v>
      </c>
      <c r="G66" s="23">
        <v>10</v>
      </c>
      <c r="J66" s="23">
        <v>0.25</v>
      </c>
      <c r="K66" s="23">
        <v>0.11</v>
      </c>
      <c r="L66" s="24">
        <v>0.27600000000000002</v>
      </c>
      <c r="M66" s="24">
        <v>0.27600000000000002</v>
      </c>
      <c r="N66" s="24">
        <v>0.38800000000000001</v>
      </c>
      <c r="O66" s="24">
        <v>0.40699999999999997</v>
      </c>
      <c r="P66" s="22">
        <f t="shared" si="4"/>
        <v>0.11199999999999999</v>
      </c>
      <c r="Q66" s="22">
        <f t="shared" si="5"/>
        <v>0.13099999999999995</v>
      </c>
      <c r="R66" s="22">
        <f t="shared" ref="R66:R134" si="20">AVERAGE(P66:Q66)</f>
        <v>0.12149999999999997</v>
      </c>
      <c r="S66" s="22">
        <f t="shared" ref="S66:S134" si="21">R66/4.2427*J66/K66</f>
        <v>6.5085055185698626E-2</v>
      </c>
      <c r="T66" s="22">
        <f t="shared" ref="T66:T134" si="22">S66*342.3</f>
        <v>22.278614390064639</v>
      </c>
      <c r="U66" s="22">
        <f t="shared" ref="U66:U134" si="23">T66*0.42</f>
        <v>9.3570180438271482</v>
      </c>
      <c r="V66" s="25">
        <f t="shared" si="19"/>
        <v>93.570180438271478</v>
      </c>
      <c r="W66" s="22">
        <f t="shared" si="17"/>
        <v>91.511636468629504</v>
      </c>
      <c r="X66" s="26">
        <f t="shared" si="18"/>
        <v>9.3570180438271477E-2</v>
      </c>
    </row>
    <row r="67" spans="1:24" s="22" customFormat="1" x14ac:dyDescent="0.25">
      <c r="A67" s="22">
        <v>20230606</v>
      </c>
      <c r="B67" s="22" t="s">
        <v>17</v>
      </c>
      <c r="C67" s="22">
        <v>3</v>
      </c>
      <c r="D67" s="22" t="s">
        <v>31</v>
      </c>
      <c r="E67" s="22" t="s">
        <v>27</v>
      </c>
      <c r="F67" s="22" t="s">
        <v>25</v>
      </c>
      <c r="G67" s="23">
        <v>10</v>
      </c>
      <c r="J67" s="23">
        <v>0.25</v>
      </c>
      <c r="K67" s="23">
        <v>0.11</v>
      </c>
      <c r="L67" s="24">
        <v>0.28899999999999998</v>
      </c>
      <c r="M67" s="24">
        <v>0.311</v>
      </c>
      <c r="N67" s="24">
        <v>0.45500000000000002</v>
      </c>
      <c r="O67" s="24">
        <v>0.66500000000000004</v>
      </c>
      <c r="P67" s="22">
        <f t="shared" ref="P67:P135" si="24">N67-L67</f>
        <v>0.16600000000000004</v>
      </c>
      <c r="Q67" s="22">
        <f t="shared" ref="Q67:Q135" si="25">O67-M67</f>
        <v>0.35400000000000004</v>
      </c>
      <c r="R67" s="22">
        <f t="shared" si="20"/>
        <v>0.26</v>
      </c>
      <c r="S67" s="22">
        <f t="shared" si="21"/>
        <v>0.13927666130272962</v>
      </c>
      <c r="T67" s="22">
        <f t="shared" si="22"/>
        <v>47.674401163924351</v>
      </c>
      <c r="U67" s="22">
        <f t="shared" si="23"/>
        <v>20.023248488848228</v>
      </c>
      <c r="V67" s="25">
        <f t="shared" si="19"/>
        <v>200.23248488848228</v>
      </c>
      <c r="W67" s="22">
        <f t="shared" si="17"/>
        <v>195.82737022093565</v>
      </c>
      <c r="X67" s="26">
        <f t="shared" si="18"/>
        <v>0.20023248488848228</v>
      </c>
    </row>
    <row r="68" spans="1:24" s="22" customFormat="1" x14ac:dyDescent="0.25">
      <c r="A68" s="22">
        <v>20230606</v>
      </c>
      <c r="B68" s="22" t="s">
        <v>17</v>
      </c>
      <c r="C68" s="22">
        <v>4</v>
      </c>
      <c r="D68" s="22" t="s">
        <v>31</v>
      </c>
      <c r="E68" s="22" t="s">
        <v>27</v>
      </c>
      <c r="F68" s="22" t="s">
        <v>25</v>
      </c>
      <c r="G68" s="23">
        <v>10</v>
      </c>
      <c r="J68" s="23">
        <v>0.25</v>
      </c>
      <c r="K68" s="23">
        <v>0.11</v>
      </c>
      <c r="L68" s="24">
        <v>0.28000000000000003</v>
      </c>
      <c r="M68" s="24">
        <v>0.27800000000000002</v>
      </c>
      <c r="N68" s="24">
        <v>0.42499999999999999</v>
      </c>
      <c r="O68" s="24">
        <v>0.44</v>
      </c>
      <c r="P68" s="22">
        <f t="shared" si="24"/>
        <v>0.14499999999999996</v>
      </c>
      <c r="Q68" s="22">
        <f t="shared" si="25"/>
        <v>0.16199999999999998</v>
      </c>
      <c r="R68" s="22">
        <f t="shared" si="20"/>
        <v>0.15349999999999997</v>
      </c>
      <c r="S68" s="22">
        <f t="shared" si="21"/>
        <v>8.2226798115265343E-2</v>
      </c>
      <c r="T68" s="22">
        <f t="shared" si="22"/>
        <v>28.146232994855328</v>
      </c>
      <c r="U68" s="22">
        <f t="shared" si="23"/>
        <v>11.821417857839238</v>
      </c>
      <c r="V68" s="25">
        <f t="shared" si="19"/>
        <v>118.21417857839238</v>
      </c>
      <c r="W68" s="22">
        <f t="shared" si="17"/>
        <v>115.61346664966774</v>
      </c>
      <c r="X68" s="26">
        <f t="shared" si="18"/>
        <v>0.11821417857839238</v>
      </c>
    </row>
    <row r="69" spans="1:24" s="22" customFormat="1" x14ac:dyDescent="0.25">
      <c r="A69" s="22">
        <v>20230606</v>
      </c>
      <c r="B69" s="22" t="s">
        <v>17</v>
      </c>
      <c r="C69" s="22">
        <v>5</v>
      </c>
      <c r="D69" s="22" t="s">
        <v>31</v>
      </c>
      <c r="E69" s="22" t="s">
        <v>27</v>
      </c>
      <c r="F69" s="22" t="s">
        <v>25</v>
      </c>
      <c r="G69" s="23">
        <v>10</v>
      </c>
      <c r="J69" s="23">
        <v>0.25</v>
      </c>
      <c r="K69" s="23">
        <v>0.11</v>
      </c>
      <c r="L69" s="24">
        <v>0.29299999999999998</v>
      </c>
      <c r="M69" s="24">
        <v>0.30199999999999999</v>
      </c>
      <c r="N69" s="24">
        <v>0.53300000000000003</v>
      </c>
      <c r="O69" s="24">
        <v>0.55600000000000005</v>
      </c>
      <c r="P69" s="22">
        <f t="shared" si="24"/>
        <v>0.24000000000000005</v>
      </c>
      <c r="Q69" s="22">
        <f t="shared" si="25"/>
        <v>0.25400000000000006</v>
      </c>
      <c r="R69" s="22">
        <f t="shared" si="20"/>
        <v>0.24700000000000005</v>
      </c>
      <c r="S69" s="22">
        <f t="shared" si="21"/>
        <v>0.13231282823759313</v>
      </c>
      <c r="T69" s="22">
        <f t="shared" si="22"/>
        <v>45.290681105728133</v>
      </c>
      <c r="U69" s="22">
        <f t="shared" si="23"/>
        <v>19.022086064405816</v>
      </c>
      <c r="V69" s="25">
        <f t="shared" si="19"/>
        <v>190.22086064405815</v>
      </c>
      <c r="W69" s="22">
        <f t="shared" si="17"/>
        <v>186.03600170988886</v>
      </c>
      <c r="X69" s="26">
        <f t="shared" si="18"/>
        <v>0.19022086064405816</v>
      </c>
    </row>
    <row r="70" spans="1:24" s="22" customFormat="1" x14ac:dyDescent="0.25">
      <c r="A70" s="22">
        <v>20230606</v>
      </c>
      <c r="B70" s="22" t="s">
        <v>17</v>
      </c>
      <c r="C70" s="22">
        <v>6</v>
      </c>
      <c r="D70" s="22" t="s">
        <v>31</v>
      </c>
      <c r="E70" s="22" t="s">
        <v>27</v>
      </c>
      <c r="F70" s="22" t="s">
        <v>25</v>
      </c>
      <c r="G70" s="23">
        <v>10</v>
      </c>
      <c r="J70" s="23">
        <v>0.25</v>
      </c>
      <c r="K70" s="23">
        <v>0.11</v>
      </c>
      <c r="L70" s="24">
        <v>0.29599999999999999</v>
      </c>
      <c r="M70" s="24">
        <v>0.29299999999999998</v>
      </c>
      <c r="N70" s="24">
        <v>0.438</v>
      </c>
      <c r="O70" s="24">
        <v>0.39</v>
      </c>
      <c r="P70" s="22">
        <f t="shared" si="24"/>
        <v>0.14200000000000002</v>
      </c>
      <c r="Q70" s="22">
        <f t="shared" si="25"/>
        <v>9.7000000000000031E-2</v>
      </c>
      <c r="R70" s="22">
        <f t="shared" si="20"/>
        <v>0.11950000000000002</v>
      </c>
      <c r="S70" s="22">
        <f t="shared" si="21"/>
        <v>6.4013696252600727E-2</v>
      </c>
      <c r="T70" s="22">
        <f t="shared" si="22"/>
        <v>21.91188822726523</v>
      </c>
      <c r="U70" s="22">
        <f t="shared" si="23"/>
        <v>9.2029930554513957</v>
      </c>
      <c r="V70" s="25">
        <f t="shared" si="19"/>
        <v>92.029930554513953</v>
      </c>
      <c r="W70" s="22">
        <f t="shared" si="17"/>
        <v>90.005272082314647</v>
      </c>
      <c r="X70" s="26">
        <f t="shared" si="18"/>
        <v>9.2029930554513958E-2</v>
      </c>
    </row>
    <row r="71" spans="1:24" s="22" customFormat="1" x14ac:dyDescent="0.25">
      <c r="A71" s="22">
        <v>20230531</v>
      </c>
      <c r="B71" s="22" t="s">
        <v>17</v>
      </c>
      <c r="C71" s="22">
        <v>1</v>
      </c>
      <c r="D71" s="22" t="s">
        <v>31</v>
      </c>
      <c r="E71" s="22" t="s">
        <v>27</v>
      </c>
      <c r="F71" s="22" t="s">
        <v>43</v>
      </c>
      <c r="G71" s="22">
        <v>10</v>
      </c>
      <c r="J71" s="22">
        <v>0.25</v>
      </c>
      <c r="K71" s="22">
        <v>0.11</v>
      </c>
      <c r="L71" s="22">
        <v>1.3260000000000001</v>
      </c>
      <c r="M71" s="22">
        <v>1.3480000000000001</v>
      </c>
      <c r="N71" s="22">
        <v>3.6966000000000001</v>
      </c>
      <c r="O71" s="22">
        <v>3.7044000000000006</v>
      </c>
      <c r="P71" s="22">
        <f t="shared" si="24"/>
        <v>2.3706</v>
      </c>
      <c r="Q71" s="22">
        <f t="shared" si="25"/>
        <v>2.3564000000000007</v>
      </c>
      <c r="R71" s="22">
        <f t="shared" si="20"/>
        <v>2.3635000000000002</v>
      </c>
      <c r="S71" s="22">
        <f t="shared" si="21"/>
        <v>1.2660784191884671</v>
      </c>
      <c r="T71" s="22">
        <f t="shared" si="22"/>
        <v>433.37864288821231</v>
      </c>
      <c r="U71" s="22">
        <f t="shared" si="23"/>
        <v>182.01903001304916</v>
      </c>
      <c r="V71" s="22">
        <f t="shared" si="19"/>
        <v>1820.1903001304916</v>
      </c>
      <c r="W71" s="22">
        <f t="shared" si="17"/>
        <v>1780.1461135276206</v>
      </c>
      <c r="X71" s="26">
        <f t="shared" si="18"/>
        <v>1.8201903001304915</v>
      </c>
    </row>
    <row r="72" spans="1:24" s="22" customFormat="1" x14ac:dyDescent="0.25">
      <c r="A72" s="22">
        <v>20230531</v>
      </c>
      <c r="B72" s="22" t="s">
        <v>17</v>
      </c>
      <c r="C72" s="22">
        <v>2</v>
      </c>
      <c r="D72" s="22" t="s">
        <v>31</v>
      </c>
      <c r="E72" s="22" t="s">
        <v>27</v>
      </c>
      <c r="F72" s="22" t="s">
        <v>43</v>
      </c>
      <c r="G72" s="22">
        <v>10</v>
      </c>
      <c r="J72" s="22">
        <v>0.25</v>
      </c>
      <c r="K72" s="22">
        <v>0.11</v>
      </c>
      <c r="L72" s="22">
        <v>0.95899999999999996</v>
      </c>
      <c r="M72" s="22">
        <v>0.94499999999999995</v>
      </c>
      <c r="N72" s="22">
        <v>3.6621999999999999</v>
      </c>
      <c r="O72" s="22">
        <v>3.65</v>
      </c>
      <c r="P72" s="22">
        <f t="shared" si="24"/>
        <v>2.7031999999999998</v>
      </c>
      <c r="Q72" s="22">
        <f t="shared" si="25"/>
        <v>2.7050000000000001</v>
      </c>
      <c r="R72" s="22">
        <f t="shared" si="20"/>
        <v>2.7040999999999999</v>
      </c>
      <c r="S72" s="22">
        <f t="shared" si="21"/>
        <v>1.4485308454950427</v>
      </c>
      <c r="T72" s="22">
        <f t="shared" si="22"/>
        <v>495.83210841295312</v>
      </c>
      <c r="U72" s="22">
        <f t="shared" si="23"/>
        <v>208.24948553344029</v>
      </c>
      <c r="V72" s="22">
        <f t="shared" si="19"/>
        <v>2082.4948553344029</v>
      </c>
      <c r="W72" s="22">
        <f t="shared" si="17"/>
        <v>2036.6799685170458</v>
      </c>
      <c r="X72" s="26">
        <f t="shared" si="18"/>
        <v>2.0824948553344029</v>
      </c>
    </row>
    <row r="73" spans="1:24" s="22" customFormat="1" x14ac:dyDescent="0.25">
      <c r="A73" s="22">
        <v>20230531</v>
      </c>
      <c r="B73" s="22" t="s">
        <v>17</v>
      </c>
      <c r="C73" s="22">
        <v>3</v>
      </c>
      <c r="D73" s="22" t="s">
        <v>31</v>
      </c>
      <c r="E73" s="22" t="s">
        <v>27</v>
      </c>
      <c r="F73" s="22" t="s">
        <v>43</v>
      </c>
      <c r="G73" s="22">
        <v>10</v>
      </c>
      <c r="J73" s="22">
        <v>0.25</v>
      </c>
      <c r="K73" s="22">
        <v>0.11</v>
      </c>
      <c r="L73" s="22">
        <v>0.66500000000000004</v>
      </c>
      <c r="M73" s="22">
        <v>0.66900000000000004</v>
      </c>
      <c r="N73" s="22">
        <v>3.5838000000000001</v>
      </c>
      <c r="O73" s="22">
        <v>3.5852000000000004</v>
      </c>
      <c r="P73" s="22">
        <f t="shared" si="24"/>
        <v>2.9188000000000001</v>
      </c>
      <c r="Q73" s="22">
        <f t="shared" si="25"/>
        <v>2.9162000000000003</v>
      </c>
      <c r="R73" s="22">
        <f t="shared" si="20"/>
        <v>2.9175000000000004</v>
      </c>
      <c r="S73" s="22">
        <f t="shared" si="21"/>
        <v>1.5628448436565912</v>
      </c>
      <c r="T73" s="22">
        <f t="shared" si="22"/>
        <v>534.96178998365122</v>
      </c>
      <c r="U73" s="22">
        <f t="shared" si="23"/>
        <v>224.6839517931335</v>
      </c>
      <c r="V73" s="22">
        <f t="shared" si="19"/>
        <v>2246.8395179313352</v>
      </c>
      <c r="W73" s="22">
        <f t="shared" si="17"/>
        <v>2197.4090485368456</v>
      </c>
      <c r="X73" s="26">
        <f t="shared" si="18"/>
        <v>2.2468395179313352</v>
      </c>
    </row>
    <row r="74" spans="1:24" s="22" customFormat="1" x14ac:dyDescent="0.25">
      <c r="A74" s="22">
        <v>20230531</v>
      </c>
      <c r="B74" s="22" t="s">
        <v>17</v>
      </c>
      <c r="C74" s="22">
        <v>4</v>
      </c>
      <c r="D74" s="22" t="s">
        <v>31</v>
      </c>
      <c r="E74" s="22" t="s">
        <v>27</v>
      </c>
      <c r="F74" s="22" t="s">
        <v>43</v>
      </c>
      <c r="G74" s="22">
        <v>10</v>
      </c>
      <c r="J74" s="22">
        <v>0.25</v>
      </c>
      <c r="K74" s="22">
        <v>0.11</v>
      </c>
      <c r="L74" s="22">
        <v>1.0329999999999999</v>
      </c>
      <c r="M74" s="22">
        <v>1.048</v>
      </c>
      <c r="N74" s="22">
        <v>3.6631999999999998</v>
      </c>
      <c r="O74" s="22">
        <v>3.6703999999999999</v>
      </c>
      <c r="P74" s="22">
        <f t="shared" si="24"/>
        <v>2.6301999999999999</v>
      </c>
      <c r="Q74" s="22">
        <f t="shared" si="25"/>
        <v>2.6223999999999998</v>
      </c>
      <c r="R74" s="22">
        <f t="shared" si="20"/>
        <v>2.6262999999999996</v>
      </c>
      <c r="S74" s="22">
        <f t="shared" si="21"/>
        <v>1.4068549829975334</v>
      </c>
      <c r="T74" s="22">
        <f t="shared" si="22"/>
        <v>481.56646068005568</v>
      </c>
      <c r="U74" s="22">
        <f t="shared" si="23"/>
        <v>202.25791348562339</v>
      </c>
      <c r="V74" s="22">
        <f t="shared" si="19"/>
        <v>2022.5791348562338</v>
      </c>
      <c r="W74" s="22">
        <f t="shared" si="17"/>
        <v>1978.0823938893966</v>
      </c>
      <c r="X74" s="26">
        <f t="shared" si="18"/>
        <v>2.0225791348562336</v>
      </c>
    </row>
    <row r="75" spans="1:24" s="22" customFormat="1" x14ac:dyDescent="0.25">
      <c r="A75" s="22">
        <v>20230531</v>
      </c>
      <c r="B75" s="22" t="s">
        <v>17</v>
      </c>
      <c r="C75" s="22">
        <v>5</v>
      </c>
      <c r="D75" s="22" t="s">
        <v>31</v>
      </c>
      <c r="E75" s="22" t="s">
        <v>27</v>
      </c>
      <c r="F75" s="22" t="s">
        <v>43</v>
      </c>
      <c r="G75" s="22">
        <v>10</v>
      </c>
      <c r="J75" s="22">
        <v>0.25</v>
      </c>
      <c r="K75" s="22">
        <v>0.11</v>
      </c>
      <c r="L75" s="22">
        <v>0.72599999999999998</v>
      </c>
      <c r="M75" s="22">
        <v>0.73599999999999999</v>
      </c>
      <c r="N75" s="22">
        <v>3.5756000000000001</v>
      </c>
      <c r="O75" s="22">
        <v>3.5769999999999995</v>
      </c>
      <c r="P75" s="22">
        <f t="shared" si="24"/>
        <v>2.8496000000000001</v>
      </c>
      <c r="Q75" s="22">
        <f t="shared" si="25"/>
        <v>2.8409999999999993</v>
      </c>
      <c r="R75" s="22">
        <f t="shared" si="20"/>
        <v>2.8452999999999999</v>
      </c>
      <c r="S75" s="22">
        <f t="shared" si="21"/>
        <v>1.5241687861717559</v>
      </c>
      <c r="T75" s="22">
        <f t="shared" si="22"/>
        <v>521.72297550659209</v>
      </c>
      <c r="U75" s="22">
        <f t="shared" si="23"/>
        <v>219.12364971276867</v>
      </c>
      <c r="V75" s="22">
        <f t="shared" si="19"/>
        <v>2191.2364971276866</v>
      </c>
      <c r="W75" s="22">
        <f t="shared" si="17"/>
        <v>2143.0292941908774</v>
      </c>
      <c r="X75" s="26">
        <f t="shared" si="18"/>
        <v>2.1912364971276865</v>
      </c>
    </row>
    <row r="76" spans="1:24" x14ac:dyDescent="0.25">
      <c r="A76" s="3">
        <v>20230831</v>
      </c>
      <c r="B76" s="3" t="s">
        <v>26</v>
      </c>
      <c r="C76" s="3">
        <v>1</v>
      </c>
      <c r="D76" s="3" t="s">
        <v>29</v>
      </c>
      <c r="E76" s="3" t="s">
        <v>27</v>
      </c>
      <c r="F76" s="3" t="s">
        <v>22</v>
      </c>
      <c r="G76" s="5">
        <v>5</v>
      </c>
      <c r="H76" s="5">
        <v>10</v>
      </c>
      <c r="I76" s="5">
        <v>0.5</v>
      </c>
      <c r="J76" s="5">
        <v>0.25</v>
      </c>
      <c r="K76" s="5">
        <v>1.4999999999999999E-2</v>
      </c>
      <c r="L76" s="10">
        <v>0.26900000000000002</v>
      </c>
      <c r="M76" s="10">
        <v>0.26700000000000002</v>
      </c>
      <c r="N76" s="13">
        <v>0.27300000000000008</v>
      </c>
      <c r="O76" s="13">
        <v>0.27099999999999996</v>
      </c>
      <c r="P76" s="3">
        <f t="shared" si="24"/>
        <v>4.0000000000000591E-3</v>
      </c>
      <c r="Q76" s="3">
        <f t="shared" si="25"/>
        <v>3.999999999999948E-3</v>
      </c>
      <c r="R76" s="3">
        <f t="shared" si="20"/>
        <v>4.0000000000000036E-3</v>
      </c>
      <c r="S76" s="3">
        <f t="shared" si="21"/>
        <v>1.5713264352102841E-2</v>
      </c>
      <c r="T76" s="3">
        <f t="shared" si="22"/>
        <v>5.3786503877248029</v>
      </c>
      <c r="U76" s="3">
        <f t="shared" si="23"/>
        <v>2.2590331628444171</v>
      </c>
      <c r="V76" s="14">
        <f t="shared" ref="V76:V132" si="26">U76*I76</f>
        <v>1.1295165814222086</v>
      </c>
      <c r="W76" s="3">
        <f t="shared" ref="W76:W132" si="27">U76*0.47</f>
        <v>1.0617455865368759</v>
      </c>
      <c r="X76" s="21"/>
    </row>
    <row r="77" spans="1:24" x14ac:dyDescent="0.25">
      <c r="A77" s="3">
        <v>20230831</v>
      </c>
      <c r="B77" s="3" t="s">
        <v>26</v>
      </c>
      <c r="C77" s="3">
        <v>2</v>
      </c>
      <c r="D77" s="3" t="s">
        <v>29</v>
      </c>
      <c r="E77" s="3" t="s">
        <v>27</v>
      </c>
      <c r="F77" s="3" t="s">
        <v>22</v>
      </c>
      <c r="G77" s="5">
        <v>5</v>
      </c>
      <c r="H77" s="5">
        <v>10</v>
      </c>
      <c r="I77" s="5">
        <v>0.5</v>
      </c>
      <c r="J77" s="5">
        <v>0.25</v>
      </c>
      <c r="K77" s="5">
        <v>1.4999999999999999E-2</v>
      </c>
      <c r="L77" s="10">
        <v>0.30099999999999999</v>
      </c>
      <c r="M77" s="10">
        <v>0.30499999999999999</v>
      </c>
      <c r="N77" s="13">
        <v>0.32500000000000001</v>
      </c>
      <c r="O77" s="13">
        <v>0.33200000000000002</v>
      </c>
      <c r="P77" s="3">
        <f t="shared" si="24"/>
        <v>2.4000000000000021E-2</v>
      </c>
      <c r="Q77" s="3">
        <f t="shared" si="25"/>
        <v>2.7000000000000024E-2</v>
      </c>
      <c r="R77" s="3">
        <f t="shared" si="20"/>
        <v>2.5500000000000023E-2</v>
      </c>
      <c r="S77" s="3">
        <f t="shared" si="21"/>
        <v>0.10017206024465561</v>
      </c>
      <c r="T77" s="3">
        <f t="shared" si="22"/>
        <v>34.288896221745617</v>
      </c>
      <c r="U77" s="3">
        <f t="shared" si="23"/>
        <v>14.401336413133158</v>
      </c>
      <c r="V77" s="14">
        <f t="shared" si="26"/>
        <v>7.2006682065665792</v>
      </c>
      <c r="W77" s="3">
        <f t="shared" si="27"/>
        <v>6.7686281141725839</v>
      </c>
      <c r="X77" s="21"/>
    </row>
    <row r="78" spans="1:24" x14ac:dyDescent="0.25">
      <c r="A78" s="3">
        <v>20230831</v>
      </c>
      <c r="B78" s="3" t="s">
        <v>26</v>
      </c>
      <c r="C78" s="3">
        <v>3</v>
      </c>
      <c r="D78" s="3" t="s">
        <v>29</v>
      </c>
      <c r="E78" s="3" t="s">
        <v>27</v>
      </c>
      <c r="F78" s="3" t="s">
        <v>22</v>
      </c>
      <c r="G78" s="5">
        <v>5</v>
      </c>
      <c r="H78" s="5">
        <v>10</v>
      </c>
      <c r="I78" s="5">
        <v>0.5</v>
      </c>
      <c r="J78" s="5">
        <v>0.25</v>
      </c>
      <c r="K78" s="5">
        <v>1.4999999999999999E-2</v>
      </c>
      <c r="L78" s="10">
        <v>0.30499999999999999</v>
      </c>
      <c r="M78" s="10">
        <v>0.30299999999999999</v>
      </c>
      <c r="N78" s="13">
        <v>0.316</v>
      </c>
      <c r="O78" s="13">
        <v>0.313</v>
      </c>
      <c r="P78" s="3">
        <f t="shared" si="24"/>
        <v>1.100000000000001E-2</v>
      </c>
      <c r="Q78" s="3">
        <f t="shared" si="25"/>
        <v>1.0000000000000009E-2</v>
      </c>
      <c r="R78" s="3">
        <f t="shared" si="20"/>
        <v>1.0500000000000009E-2</v>
      </c>
      <c r="S78" s="3">
        <f t="shared" si="21"/>
        <v>4.1247318924269957E-2</v>
      </c>
      <c r="T78" s="3">
        <f t="shared" si="22"/>
        <v>14.118957267777606</v>
      </c>
      <c r="U78" s="3">
        <f t="shared" si="23"/>
        <v>5.9299620524665944</v>
      </c>
      <c r="V78" s="14">
        <f t="shared" si="26"/>
        <v>2.9649810262332972</v>
      </c>
      <c r="W78" s="3">
        <f t="shared" si="27"/>
        <v>2.7870821646592994</v>
      </c>
      <c r="X78" s="21"/>
    </row>
    <row r="79" spans="1:24" x14ac:dyDescent="0.25">
      <c r="A79" s="3">
        <v>20230831</v>
      </c>
      <c r="B79" s="3" t="s">
        <v>26</v>
      </c>
      <c r="C79" s="15">
        <v>6</v>
      </c>
      <c r="D79" s="3" t="s">
        <v>29</v>
      </c>
      <c r="E79" s="3" t="s">
        <v>27</v>
      </c>
      <c r="F79" s="3" t="s">
        <v>22</v>
      </c>
      <c r="G79" s="5">
        <v>5</v>
      </c>
      <c r="H79" s="5">
        <v>10</v>
      </c>
      <c r="I79" s="5">
        <v>0.5</v>
      </c>
      <c r="J79" s="5">
        <v>0.25</v>
      </c>
      <c r="K79" s="5">
        <v>1.4999999999999999E-2</v>
      </c>
      <c r="L79" s="10">
        <v>0.27600000000000002</v>
      </c>
      <c r="M79" s="10">
        <v>0.27900000000000003</v>
      </c>
      <c r="N79" s="13">
        <v>0.29733333333333328</v>
      </c>
      <c r="O79" s="13">
        <v>0.29299999999999998</v>
      </c>
      <c r="P79" s="3">
        <f t="shared" si="24"/>
        <v>2.133333333333326E-2</v>
      </c>
      <c r="Q79" s="3">
        <f t="shared" si="25"/>
        <v>1.3999999999999957E-2</v>
      </c>
      <c r="R79" s="3">
        <f t="shared" si="20"/>
        <v>1.7666666666666608E-2</v>
      </c>
      <c r="S79" s="3">
        <f t="shared" si="21"/>
        <v>6.9400250888453932E-2</v>
      </c>
      <c r="T79" s="3">
        <f t="shared" si="22"/>
        <v>23.75570587911778</v>
      </c>
      <c r="U79" s="3">
        <f t="shared" si="23"/>
        <v>9.9773964692294665</v>
      </c>
      <c r="V79" s="14">
        <f t="shared" si="26"/>
        <v>4.9886982346147333</v>
      </c>
      <c r="W79" s="3">
        <f t="shared" si="27"/>
        <v>4.6893763405378488</v>
      </c>
      <c r="X79" s="21"/>
    </row>
    <row r="80" spans="1:24" x14ac:dyDescent="0.25">
      <c r="A80" s="3">
        <v>20230831</v>
      </c>
      <c r="B80" s="3" t="s">
        <v>26</v>
      </c>
      <c r="C80" s="3">
        <v>4</v>
      </c>
      <c r="D80" s="3" t="s">
        <v>29</v>
      </c>
      <c r="E80" s="3" t="s">
        <v>27</v>
      </c>
      <c r="F80" s="3" t="s">
        <v>22</v>
      </c>
      <c r="G80" s="5">
        <v>5</v>
      </c>
      <c r="H80" s="5">
        <v>10</v>
      </c>
      <c r="I80" s="5">
        <v>0.5</v>
      </c>
      <c r="J80" s="5">
        <v>0.25</v>
      </c>
      <c r="K80" s="5">
        <v>1.4999999999999999E-2</v>
      </c>
      <c r="L80" s="10">
        <v>0.28899999999999998</v>
      </c>
      <c r="M80" s="10">
        <v>0.28699999999999998</v>
      </c>
      <c r="N80" s="13">
        <v>0.29166666666666663</v>
      </c>
      <c r="O80" s="13">
        <v>0.28999999999999998</v>
      </c>
      <c r="P80" s="3">
        <f t="shared" si="24"/>
        <v>2.6666666666666505E-3</v>
      </c>
      <c r="Q80" s="3">
        <f t="shared" si="25"/>
        <v>3.0000000000000027E-3</v>
      </c>
      <c r="R80" s="3">
        <f t="shared" si="20"/>
        <v>2.8333333333333266E-3</v>
      </c>
      <c r="S80" s="3">
        <f t="shared" si="21"/>
        <v>1.1130228916072809E-2</v>
      </c>
      <c r="T80" s="3">
        <f t="shared" si="22"/>
        <v>3.8098773579717227</v>
      </c>
      <c r="U80" s="3">
        <f t="shared" si="23"/>
        <v>1.6001484903481236</v>
      </c>
      <c r="V80" s="14">
        <f t="shared" si="26"/>
        <v>0.80007424517406178</v>
      </c>
      <c r="W80" s="3">
        <f t="shared" si="27"/>
        <v>0.75206979046361799</v>
      </c>
      <c r="X80" s="21"/>
    </row>
    <row r="81" spans="1:24" s="22" customFormat="1" x14ac:dyDescent="0.25">
      <c r="A81" s="22">
        <v>20230831</v>
      </c>
      <c r="B81" s="22" t="s">
        <v>26</v>
      </c>
      <c r="C81" s="22">
        <v>1</v>
      </c>
      <c r="D81" s="22" t="s">
        <v>30</v>
      </c>
      <c r="E81" s="22" t="s">
        <v>27</v>
      </c>
      <c r="F81" s="22" t="s">
        <v>22</v>
      </c>
      <c r="G81" s="23">
        <v>10</v>
      </c>
      <c r="H81" s="23"/>
      <c r="I81" s="23"/>
      <c r="J81" s="23">
        <v>0.25</v>
      </c>
      <c r="K81" s="23">
        <v>0.11</v>
      </c>
      <c r="L81" s="27">
        <v>0.58199999999999996</v>
      </c>
      <c r="M81" s="27">
        <v>0.59199999999999997</v>
      </c>
      <c r="N81" s="27">
        <v>2.4813999999999998</v>
      </c>
      <c r="O81" s="27">
        <v>2.5444</v>
      </c>
      <c r="P81" s="22">
        <f t="shared" si="24"/>
        <v>1.8994</v>
      </c>
      <c r="Q81" s="22">
        <f t="shared" si="25"/>
        <v>1.9523999999999999</v>
      </c>
      <c r="R81" s="22">
        <f t="shared" si="20"/>
        <v>1.9258999999999999</v>
      </c>
      <c r="S81" s="22">
        <f t="shared" si="21"/>
        <v>1.0316650846266422</v>
      </c>
      <c r="T81" s="22">
        <f t="shared" si="22"/>
        <v>353.13895846769964</v>
      </c>
      <c r="U81" s="22">
        <f t="shared" si="23"/>
        <v>148.31836255643384</v>
      </c>
      <c r="V81" s="25">
        <f>U81*G81</f>
        <v>1483.1836255643384</v>
      </c>
      <c r="W81" s="22">
        <f t="shared" ref="W81:W90" si="28">U81*9.78</f>
        <v>1450.553585801923</v>
      </c>
      <c r="X81" s="26">
        <f>U81*2/1000</f>
        <v>0.29663672511286771</v>
      </c>
    </row>
    <row r="82" spans="1:24" s="22" customFormat="1" x14ac:dyDescent="0.25">
      <c r="A82" s="22">
        <v>20230831</v>
      </c>
      <c r="B82" s="22" t="s">
        <v>26</v>
      </c>
      <c r="C82" s="22">
        <v>2</v>
      </c>
      <c r="D82" s="22" t="s">
        <v>30</v>
      </c>
      <c r="E82" s="22" t="s">
        <v>27</v>
      </c>
      <c r="F82" s="22" t="s">
        <v>22</v>
      </c>
      <c r="G82" s="23">
        <v>10</v>
      </c>
      <c r="J82" s="23">
        <v>0.25</v>
      </c>
      <c r="K82" s="23">
        <v>0.11</v>
      </c>
      <c r="L82" s="27">
        <v>0.46300000000000002</v>
      </c>
      <c r="M82" s="27">
        <v>0.46100000000000002</v>
      </c>
      <c r="N82" s="27">
        <v>1.6878</v>
      </c>
      <c r="O82" s="27">
        <v>1.6736</v>
      </c>
      <c r="P82" s="22">
        <f t="shared" si="24"/>
        <v>1.2247999999999999</v>
      </c>
      <c r="Q82" s="22">
        <f t="shared" si="25"/>
        <v>1.2125999999999999</v>
      </c>
      <c r="R82" s="22">
        <f t="shared" si="20"/>
        <v>1.2186999999999999</v>
      </c>
      <c r="S82" s="22">
        <f t="shared" si="21"/>
        <v>0.65283256588321747</v>
      </c>
      <c r="T82" s="22">
        <f t="shared" si="22"/>
        <v>223.46458730182536</v>
      </c>
      <c r="U82" s="22">
        <f t="shared" si="23"/>
        <v>93.855126666766651</v>
      </c>
      <c r="V82" s="25">
        <f t="shared" ref="V82:V90" si="29">U82*G82</f>
        <v>938.55126666766648</v>
      </c>
      <c r="W82" s="22">
        <f t="shared" si="28"/>
        <v>917.90313880097779</v>
      </c>
      <c r="X82" s="26">
        <f t="shared" ref="X82:X90" si="30">U82*2/1000</f>
        <v>0.18771025333353331</v>
      </c>
    </row>
    <row r="83" spans="1:24" s="22" customFormat="1" x14ac:dyDescent="0.25">
      <c r="A83" s="22">
        <v>20230831</v>
      </c>
      <c r="B83" s="22" t="s">
        <v>26</v>
      </c>
      <c r="C83" s="22">
        <v>3</v>
      </c>
      <c r="D83" s="22" t="s">
        <v>30</v>
      </c>
      <c r="E83" s="22" t="s">
        <v>27</v>
      </c>
      <c r="F83" s="22" t="s">
        <v>22</v>
      </c>
      <c r="G83" s="23">
        <v>10</v>
      </c>
      <c r="J83" s="23">
        <v>0.25</v>
      </c>
      <c r="K83" s="23">
        <v>0.11</v>
      </c>
      <c r="L83" s="27">
        <v>0.48299999999999998</v>
      </c>
      <c r="M83" s="27">
        <v>0.48</v>
      </c>
      <c r="N83" s="27">
        <v>2.0068000000000001</v>
      </c>
      <c r="O83" s="27">
        <v>1.9776</v>
      </c>
      <c r="P83" s="22">
        <f t="shared" si="24"/>
        <v>1.5238</v>
      </c>
      <c r="Q83" s="22">
        <f t="shared" si="25"/>
        <v>1.4976</v>
      </c>
      <c r="R83" s="22">
        <f t="shared" si="20"/>
        <v>1.5106999999999999</v>
      </c>
      <c r="S83" s="22">
        <f t="shared" si="21"/>
        <v>0.80925097011551383</v>
      </c>
      <c r="T83" s="22">
        <f t="shared" si="22"/>
        <v>277.00660707054038</v>
      </c>
      <c r="U83" s="22">
        <f t="shared" si="23"/>
        <v>116.34277496962696</v>
      </c>
      <c r="V83" s="25">
        <f t="shared" si="29"/>
        <v>1163.4277496962695</v>
      </c>
      <c r="W83" s="22">
        <f t="shared" si="28"/>
        <v>1137.8323392029515</v>
      </c>
      <c r="X83" s="26">
        <f t="shared" si="30"/>
        <v>0.23268554993925392</v>
      </c>
    </row>
    <row r="84" spans="1:24" s="22" customFormat="1" x14ac:dyDescent="0.25">
      <c r="A84" s="22">
        <v>20230831</v>
      </c>
      <c r="B84" s="22" t="s">
        <v>26</v>
      </c>
      <c r="C84" s="22">
        <v>6</v>
      </c>
      <c r="D84" s="22" t="s">
        <v>30</v>
      </c>
      <c r="E84" s="22" t="s">
        <v>27</v>
      </c>
      <c r="F84" s="22" t="s">
        <v>22</v>
      </c>
      <c r="G84" s="23">
        <v>10</v>
      </c>
      <c r="J84" s="23">
        <v>0.25</v>
      </c>
      <c r="K84" s="23">
        <v>0.11</v>
      </c>
      <c r="L84" s="27">
        <v>0.73799999999999999</v>
      </c>
      <c r="M84" s="27">
        <v>0.76300000000000001</v>
      </c>
      <c r="N84" s="27">
        <v>3.2857999999999996</v>
      </c>
      <c r="O84" s="27">
        <v>3.3374000000000001</v>
      </c>
      <c r="P84" s="22">
        <f t="shared" si="24"/>
        <v>2.5477999999999996</v>
      </c>
      <c r="Q84" s="22">
        <f t="shared" si="25"/>
        <v>2.5744000000000002</v>
      </c>
      <c r="R84" s="22">
        <f t="shared" si="20"/>
        <v>2.5610999999999997</v>
      </c>
      <c r="S84" s="22">
        <f t="shared" si="21"/>
        <v>1.3719286817785412</v>
      </c>
      <c r="T84" s="22">
        <f t="shared" si="22"/>
        <v>469.61118777279466</v>
      </c>
      <c r="U84" s="22">
        <f t="shared" si="23"/>
        <v>197.23669886457375</v>
      </c>
      <c r="V84" s="25">
        <f t="shared" si="29"/>
        <v>1972.3669886457376</v>
      </c>
      <c r="W84" s="22">
        <f t="shared" si="28"/>
        <v>1928.9749148955311</v>
      </c>
      <c r="X84" s="26">
        <f t="shared" si="30"/>
        <v>0.39447339772914752</v>
      </c>
    </row>
    <row r="85" spans="1:24" s="22" customFormat="1" x14ac:dyDescent="0.25">
      <c r="A85" s="22">
        <v>20230831</v>
      </c>
      <c r="B85" s="22" t="s">
        <v>26</v>
      </c>
      <c r="C85" s="22">
        <v>4</v>
      </c>
      <c r="D85" s="22" t="s">
        <v>30</v>
      </c>
      <c r="E85" s="22" t="s">
        <v>27</v>
      </c>
      <c r="F85" s="22" t="s">
        <v>22</v>
      </c>
      <c r="G85" s="23">
        <v>10</v>
      </c>
      <c r="J85" s="23">
        <v>0.25</v>
      </c>
      <c r="K85" s="23">
        <v>0.11</v>
      </c>
      <c r="L85" s="27">
        <v>0.46700000000000003</v>
      </c>
      <c r="M85" s="27">
        <v>0.47899999999999998</v>
      </c>
      <c r="N85" s="27">
        <v>1.9733999999999998</v>
      </c>
      <c r="O85" s="27">
        <v>2.0078</v>
      </c>
      <c r="P85" s="22">
        <f t="shared" si="24"/>
        <v>1.5063999999999997</v>
      </c>
      <c r="Q85" s="22">
        <f t="shared" si="25"/>
        <v>1.5287999999999999</v>
      </c>
      <c r="R85" s="22">
        <f t="shared" si="20"/>
        <v>1.5175999999999998</v>
      </c>
      <c r="S85" s="22">
        <f t="shared" si="21"/>
        <v>0.81294715843470156</v>
      </c>
      <c r="T85" s="22">
        <f t="shared" si="22"/>
        <v>278.27181233219835</v>
      </c>
      <c r="U85" s="22">
        <f t="shared" si="23"/>
        <v>116.8741611795233</v>
      </c>
      <c r="V85" s="25">
        <f t="shared" si="29"/>
        <v>1168.741611795233</v>
      </c>
      <c r="W85" s="22">
        <f t="shared" si="28"/>
        <v>1143.0292963357379</v>
      </c>
      <c r="X85" s="26">
        <f t="shared" si="30"/>
        <v>0.23374832235904661</v>
      </c>
    </row>
    <row r="86" spans="1:24" s="22" customFormat="1" x14ac:dyDescent="0.25">
      <c r="A86" s="22">
        <v>20230831</v>
      </c>
      <c r="B86" s="22" t="s">
        <v>26</v>
      </c>
      <c r="C86" s="22">
        <v>1</v>
      </c>
      <c r="D86" s="22" t="s">
        <v>31</v>
      </c>
      <c r="E86" s="22" t="s">
        <v>27</v>
      </c>
      <c r="F86" s="22" t="s">
        <v>22</v>
      </c>
      <c r="G86" s="23">
        <v>10</v>
      </c>
      <c r="J86" s="23">
        <v>0.25</v>
      </c>
      <c r="K86" s="23">
        <v>0.11</v>
      </c>
      <c r="L86" s="27">
        <v>0.89800000000000002</v>
      </c>
      <c r="M86" s="27">
        <v>0.89200000000000002</v>
      </c>
      <c r="N86" s="27">
        <v>2.4652000000000003</v>
      </c>
      <c r="O86" s="27">
        <v>2.5069999999999997</v>
      </c>
      <c r="P86" s="22">
        <f t="shared" si="24"/>
        <v>1.5672000000000001</v>
      </c>
      <c r="Q86" s="22">
        <f t="shared" si="25"/>
        <v>1.6149999999999998</v>
      </c>
      <c r="R86" s="22">
        <f t="shared" si="20"/>
        <v>1.5911</v>
      </c>
      <c r="S86" s="22">
        <f t="shared" si="21"/>
        <v>0.85231959922605016</v>
      </c>
      <c r="T86" s="22">
        <f t="shared" si="22"/>
        <v>291.74899881507696</v>
      </c>
      <c r="U86" s="22">
        <f t="shared" si="23"/>
        <v>122.53457950233232</v>
      </c>
      <c r="V86" s="25">
        <f t="shared" si="29"/>
        <v>1225.3457950233233</v>
      </c>
      <c r="W86" s="22">
        <f t="shared" si="28"/>
        <v>1198.38818753281</v>
      </c>
      <c r="X86" s="26">
        <f t="shared" si="30"/>
        <v>0.24506915900466464</v>
      </c>
    </row>
    <row r="87" spans="1:24" s="22" customFormat="1" x14ac:dyDescent="0.25">
      <c r="A87" s="22">
        <v>20230831</v>
      </c>
      <c r="B87" s="22" t="s">
        <v>26</v>
      </c>
      <c r="C87" s="22">
        <v>2</v>
      </c>
      <c r="D87" s="22" t="s">
        <v>31</v>
      </c>
      <c r="E87" s="22" t="s">
        <v>27</v>
      </c>
      <c r="F87" s="22" t="s">
        <v>22</v>
      </c>
      <c r="G87" s="23">
        <v>10</v>
      </c>
      <c r="J87" s="23">
        <v>0.25</v>
      </c>
      <c r="K87" s="23">
        <v>0.11</v>
      </c>
      <c r="L87" s="27">
        <v>1.0369999999999999</v>
      </c>
      <c r="M87" s="27">
        <v>1.036</v>
      </c>
      <c r="N87" s="27">
        <v>3.3481999999999998</v>
      </c>
      <c r="O87" s="27">
        <v>3.3709999999999996</v>
      </c>
      <c r="P87" s="22">
        <f t="shared" si="24"/>
        <v>2.3111999999999999</v>
      </c>
      <c r="Q87" s="22">
        <f t="shared" si="25"/>
        <v>2.3349999999999995</v>
      </c>
      <c r="R87" s="22">
        <f t="shared" si="20"/>
        <v>2.3230999999999997</v>
      </c>
      <c r="S87" s="22">
        <f t="shared" si="21"/>
        <v>1.2444369687398888</v>
      </c>
      <c r="T87" s="22">
        <f t="shared" si="22"/>
        <v>425.97077439966398</v>
      </c>
      <c r="U87" s="22">
        <f t="shared" si="23"/>
        <v>178.90772524785888</v>
      </c>
      <c r="V87" s="25">
        <f t="shared" si="29"/>
        <v>1789.0772524785889</v>
      </c>
      <c r="W87" s="22">
        <f t="shared" si="28"/>
        <v>1749.7175529240596</v>
      </c>
      <c r="X87" s="26">
        <f t="shared" si="30"/>
        <v>0.35781545049571778</v>
      </c>
    </row>
    <row r="88" spans="1:24" s="22" customFormat="1" x14ac:dyDescent="0.25">
      <c r="A88" s="22">
        <v>20230831</v>
      </c>
      <c r="B88" s="22" t="s">
        <v>26</v>
      </c>
      <c r="C88" s="22">
        <v>3</v>
      </c>
      <c r="D88" s="22" t="s">
        <v>31</v>
      </c>
      <c r="E88" s="22" t="s">
        <v>27</v>
      </c>
      <c r="F88" s="22" t="s">
        <v>22</v>
      </c>
      <c r="G88" s="23">
        <v>10</v>
      </c>
      <c r="J88" s="23">
        <v>0.25</v>
      </c>
      <c r="K88" s="23">
        <v>0.11</v>
      </c>
      <c r="L88" s="27">
        <v>0.75800000000000001</v>
      </c>
      <c r="M88" s="27">
        <v>0.77100000000000002</v>
      </c>
      <c r="N88" s="27">
        <v>2.9116</v>
      </c>
      <c r="O88" s="27">
        <v>2.9609999999999999</v>
      </c>
      <c r="P88" s="22">
        <f t="shared" si="24"/>
        <v>2.1536</v>
      </c>
      <c r="Q88" s="22">
        <f t="shared" si="25"/>
        <v>2.19</v>
      </c>
      <c r="R88" s="22">
        <f t="shared" si="20"/>
        <v>2.1718000000000002</v>
      </c>
      <c r="S88" s="22">
        <f t="shared" si="21"/>
        <v>1.1633886654510315</v>
      </c>
      <c r="T88" s="22">
        <f t="shared" si="22"/>
        <v>398.22794018388811</v>
      </c>
      <c r="U88" s="22">
        <f t="shared" si="23"/>
        <v>167.25573487723301</v>
      </c>
      <c r="V88" s="25">
        <f t="shared" si="29"/>
        <v>1672.55734877233</v>
      </c>
      <c r="W88" s="22">
        <f t="shared" si="28"/>
        <v>1635.7610870993387</v>
      </c>
      <c r="X88" s="26">
        <f t="shared" si="30"/>
        <v>0.334511469754466</v>
      </c>
    </row>
    <row r="89" spans="1:24" s="22" customFormat="1" x14ac:dyDescent="0.25">
      <c r="A89" s="22">
        <v>20230831</v>
      </c>
      <c r="B89" s="22" t="s">
        <v>26</v>
      </c>
      <c r="C89" s="22">
        <v>6</v>
      </c>
      <c r="D89" s="22" t="s">
        <v>31</v>
      </c>
      <c r="E89" s="22" t="s">
        <v>27</v>
      </c>
      <c r="F89" s="22" t="s">
        <v>22</v>
      </c>
      <c r="G89" s="23">
        <v>10</v>
      </c>
      <c r="J89" s="23">
        <v>0.25</v>
      </c>
      <c r="K89" s="23">
        <v>0.11</v>
      </c>
      <c r="L89" s="27">
        <v>1.0169999999999999</v>
      </c>
      <c r="M89" s="27">
        <v>1.0660000000000001</v>
      </c>
      <c r="N89" s="27">
        <v>3.383</v>
      </c>
      <c r="O89" s="27">
        <v>3.4629999999999996</v>
      </c>
      <c r="P89" s="22">
        <f t="shared" si="24"/>
        <v>2.3660000000000001</v>
      </c>
      <c r="Q89" s="22">
        <f t="shared" si="25"/>
        <v>2.3969999999999994</v>
      </c>
      <c r="R89" s="22">
        <f t="shared" si="20"/>
        <v>2.3815</v>
      </c>
      <c r="S89" s="22">
        <f t="shared" si="21"/>
        <v>1.2757206495863482</v>
      </c>
      <c r="T89" s="22">
        <f t="shared" si="22"/>
        <v>436.679178353407</v>
      </c>
      <c r="U89" s="22">
        <f t="shared" si="23"/>
        <v>183.40525490843092</v>
      </c>
      <c r="V89" s="25">
        <f t="shared" si="29"/>
        <v>1834.0525490843092</v>
      </c>
      <c r="W89" s="22">
        <f t="shared" si="28"/>
        <v>1793.7033930044543</v>
      </c>
      <c r="X89" s="26">
        <f t="shared" si="30"/>
        <v>0.36681050981686186</v>
      </c>
    </row>
    <row r="90" spans="1:24" s="22" customFormat="1" x14ac:dyDescent="0.25">
      <c r="A90" s="22">
        <v>20230831</v>
      </c>
      <c r="B90" s="22" t="s">
        <v>26</v>
      </c>
      <c r="C90" s="22">
        <v>4</v>
      </c>
      <c r="D90" s="22" t="s">
        <v>31</v>
      </c>
      <c r="E90" s="22" t="s">
        <v>27</v>
      </c>
      <c r="F90" s="22" t="s">
        <v>22</v>
      </c>
      <c r="G90" s="23">
        <v>10</v>
      </c>
      <c r="J90" s="23">
        <v>0.25</v>
      </c>
      <c r="K90" s="23">
        <v>0.11</v>
      </c>
      <c r="L90" s="27">
        <v>0.73099999999999998</v>
      </c>
      <c r="M90" s="27">
        <v>0.73699999999999999</v>
      </c>
      <c r="N90" s="27">
        <v>2.3755999999999999</v>
      </c>
      <c r="O90" s="27">
        <v>2.4417999999999997</v>
      </c>
      <c r="P90" s="22">
        <f t="shared" si="24"/>
        <v>1.6446000000000001</v>
      </c>
      <c r="Q90" s="22">
        <f t="shared" si="25"/>
        <v>1.7047999999999996</v>
      </c>
      <c r="R90" s="22">
        <f t="shared" si="20"/>
        <v>1.6746999999999999</v>
      </c>
      <c r="S90" s="22">
        <f t="shared" si="21"/>
        <v>0.89710240262954322</v>
      </c>
      <c r="T90" s="22">
        <f t="shared" si="22"/>
        <v>307.07815242009264</v>
      </c>
      <c r="U90" s="22">
        <f t="shared" si="23"/>
        <v>128.97282401643889</v>
      </c>
      <c r="V90" s="25">
        <f t="shared" si="29"/>
        <v>1289.7282401643888</v>
      </c>
      <c r="W90" s="22">
        <f t="shared" si="28"/>
        <v>1261.3542188807724</v>
      </c>
      <c r="X90" s="26">
        <f t="shared" si="30"/>
        <v>0.25794564803287778</v>
      </c>
    </row>
    <row r="91" spans="1:24" x14ac:dyDescent="0.25">
      <c r="A91" s="3">
        <v>20230830</v>
      </c>
      <c r="B91" s="3" t="s">
        <v>26</v>
      </c>
      <c r="C91" s="3">
        <v>1</v>
      </c>
      <c r="D91" s="3" t="s">
        <v>29</v>
      </c>
      <c r="E91" s="3" t="s">
        <v>27</v>
      </c>
      <c r="F91" s="3" t="s">
        <v>23</v>
      </c>
      <c r="G91" s="5">
        <v>5</v>
      </c>
      <c r="H91" s="5">
        <v>10</v>
      </c>
      <c r="I91" s="5">
        <v>0.5</v>
      </c>
      <c r="J91" s="5">
        <v>0.25</v>
      </c>
      <c r="K91" s="5">
        <v>1.4999999999999999E-2</v>
      </c>
      <c r="L91" s="10">
        <v>0.26800000000000002</v>
      </c>
      <c r="M91" s="10">
        <v>0.27600000000000002</v>
      </c>
      <c r="N91" s="13">
        <v>0.27483333333333332</v>
      </c>
      <c r="O91" s="13">
        <v>0.28316666666666662</v>
      </c>
      <c r="P91" s="3">
        <f t="shared" si="24"/>
        <v>6.8333333333333024E-3</v>
      </c>
      <c r="Q91" s="3">
        <f t="shared" si="25"/>
        <v>7.166666666666599E-3</v>
      </c>
      <c r="R91" s="3">
        <f t="shared" si="20"/>
        <v>6.9999999999999507E-3</v>
      </c>
      <c r="S91" s="3">
        <f t="shared" si="21"/>
        <v>2.7498212616179754E-2</v>
      </c>
      <c r="T91" s="3">
        <f t="shared" si="22"/>
        <v>9.4126381785183302</v>
      </c>
      <c r="U91" s="3">
        <f t="shared" si="23"/>
        <v>3.9533080349776983</v>
      </c>
      <c r="V91" s="14">
        <f t="shared" si="26"/>
        <v>1.9766540174888492</v>
      </c>
      <c r="W91" s="3">
        <f t="shared" si="27"/>
        <v>1.8580547764395181</v>
      </c>
      <c r="X91" s="21"/>
    </row>
    <row r="92" spans="1:24" x14ac:dyDescent="0.25">
      <c r="A92" s="3">
        <v>20230830</v>
      </c>
      <c r="B92" s="3" t="s">
        <v>26</v>
      </c>
      <c r="C92" s="3">
        <v>2</v>
      </c>
      <c r="D92" s="3" t="s">
        <v>29</v>
      </c>
      <c r="E92" s="3" t="s">
        <v>27</v>
      </c>
      <c r="F92" s="3" t="s">
        <v>23</v>
      </c>
      <c r="G92" s="5">
        <v>5</v>
      </c>
      <c r="H92" s="5">
        <v>10</v>
      </c>
      <c r="I92" s="5">
        <v>0.5</v>
      </c>
      <c r="J92" s="5">
        <v>0.25</v>
      </c>
      <c r="K92" s="5">
        <v>1.4999999999999999E-2</v>
      </c>
      <c r="L92" s="10">
        <v>0.26900000000000002</v>
      </c>
      <c r="M92" s="10">
        <v>0.27300000000000002</v>
      </c>
      <c r="N92" s="13">
        <v>0.27600000000000002</v>
      </c>
      <c r="O92" s="13">
        <v>0.28166666666666668</v>
      </c>
      <c r="P92" s="3">
        <f t="shared" si="24"/>
        <v>7.0000000000000062E-3</v>
      </c>
      <c r="Q92" s="3">
        <f t="shared" si="25"/>
        <v>8.6666666666666559E-3</v>
      </c>
      <c r="R92" s="3">
        <f t="shared" si="20"/>
        <v>7.833333333333331E-3</v>
      </c>
      <c r="S92" s="3">
        <f t="shared" si="21"/>
        <v>3.0771809356201364E-2</v>
      </c>
      <c r="T92" s="3">
        <f t="shared" si="22"/>
        <v>10.533190342627726</v>
      </c>
      <c r="U92" s="3">
        <f t="shared" si="23"/>
        <v>4.4239399439036449</v>
      </c>
      <c r="V92" s="14">
        <f t="shared" si="26"/>
        <v>2.2119699719518224</v>
      </c>
      <c r="W92" s="3">
        <f t="shared" si="27"/>
        <v>2.0792517736347129</v>
      </c>
      <c r="X92" s="21"/>
    </row>
    <row r="93" spans="1:24" x14ac:dyDescent="0.25">
      <c r="A93" s="3">
        <v>20230830</v>
      </c>
      <c r="B93" s="3" t="s">
        <v>26</v>
      </c>
      <c r="C93" s="3">
        <v>3</v>
      </c>
      <c r="D93" s="3" t="s">
        <v>29</v>
      </c>
      <c r="E93" s="3" t="s">
        <v>27</v>
      </c>
      <c r="F93" s="3" t="s">
        <v>23</v>
      </c>
      <c r="G93" s="5">
        <v>5</v>
      </c>
      <c r="H93" s="5">
        <v>10</v>
      </c>
      <c r="I93" s="5">
        <v>0.5</v>
      </c>
      <c r="J93" s="5">
        <v>0.25</v>
      </c>
      <c r="K93" s="5">
        <v>1.4999999999999999E-2</v>
      </c>
      <c r="L93" s="10">
        <v>0.28699999999999998</v>
      </c>
      <c r="M93" s="10">
        <v>0.28999999999999998</v>
      </c>
      <c r="N93" s="13">
        <v>0.29799999999999999</v>
      </c>
      <c r="O93" s="13">
        <v>0.30116666666666664</v>
      </c>
      <c r="P93" s="3">
        <f t="shared" si="24"/>
        <v>1.100000000000001E-2</v>
      </c>
      <c r="Q93" s="3">
        <f t="shared" si="25"/>
        <v>1.1166666666666658E-2</v>
      </c>
      <c r="R93" s="3">
        <f t="shared" si="20"/>
        <v>1.1083333333333334E-2</v>
      </c>
      <c r="S93" s="3">
        <f t="shared" si="21"/>
        <v>4.3538836642284917E-2</v>
      </c>
      <c r="T93" s="3">
        <f t="shared" si="22"/>
        <v>14.903343782654128</v>
      </c>
      <c r="U93" s="3">
        <f t="shared" si="23"/>
        <v>6.2594043887147333</v>
      </c>
      <c r="V93" s="14">
        <f t="shared" si="26"/>
        <v>3.1297021943573666</v>
      </c>
      <c r="W93" s="3">
        <f t="shared" si="27"/>
        <v>2.9419200626959245</v>
      </c>
      <c r="X93" s="21"/>
    </row>
    <row r="94" spans="1:24" x14ac:dyDescent="0.25">
      <c r="A94" s="3">
        <v>20230830</v>
      </c>
      <c r="B94" s="3" t="s">
        <v>26</v>
      </c>
      <c r="C94" s="3">
        <v>4</v>
      </c>
      <c r="D94" s="3" t="s">
        <v>29</v>
      </c>
      <c r="E94" s="3" t="s">
        <v>27</v>
      </c>
      <c r="F94" s="3" t="s">
        <v>23</v>
      </c>
      <c r="G94" s="5">
        <v>5</v>
      </c>
      <c r="H94" s="5">
        <v>10</v>
      </c>
      <c r="I94" s="5">
        <v>0.5</v>
      </c>
      <c r="J94" s="5">
        <v>0.25</v>
      </c>
      <c r="K94" s="5">
        <v>1.4999999999999999E-2</v>
      </c>
      <c r="L94" s="10">
        <v>0.28499999999999998</v>
      </c>
      <c r="M94" s="10">
        <v>0.28499999999999998</v>
      </c>
      <c r="N94" s="13">
        <v>0.32300000000000001</v>
      </c>
      <c r="O94" s="13">
        <v>0.32</v>
      </c>
      <c r="P94" s="3">
        <f t="shared" si="24"/>
        <v>3.8000000000000034E-2</v>
      </c>
      <c r="Q94" s="3">
        <f t="shared" si="25"/>
        <v>3.5000000000000031E-2</v>
      </c>
      <c r="R94" s="3">
        <f t="shared" si="20"/>
        <v>3.6500000000000032E-2</v>
      </c>
      <c r="S94" s="3">
        <f t="shared" si="21"/>
        <v>0.14338353721293842</v>
      </c>
      <c r="T94" s="3">
        <f t="shared" si="22"/>
        <v>49.080184787988827</v>
      </c>
      <c r="U94" s="3">
        <f t="shared" si="23"/>
        <v>20.613677610955307</v>
      </c>
      <c r="V94" s="14">
        <f t="shared" si="26"/>
        <v>10.306838805477653</v>
      </c>
      <c r="W94" s="3">
        <f t="shared" si="27"/>
        <v>9.6884284771489941</v>
      </c>
      <c r="X94" s="21"/>
    </row>
    <row r="95" spans="1:24" x14ac:dyDescent="0.25">
      <c r="A95" s="3">
        <v>20230830</v>
      </c>
      <c r="B95" s="3" t="s">
        <v>26</v>
      </c>
      <c r="C95" s="3">
        <v>5</v>
      </c>
      <c r="D95" s="3" t="s">
        <v>29</v>
      </c>
      <c r="E95" s="3" t="s">
        <v>27</v>
      </c>
      <c r="F95" s="3" t="s">
        <v>23</v>
      </c>
      <c r="G95" s="5">
        <v>5</v>
      </c>
      <c r="H95" s="5">
        <v>10</v>
      </c>
      <c r="I95" s="5">
        <v>0.5</v>
      </c>
      <c r="J95" s="5">
        <v>0.25</v>
      </c>
      <c r="K95" s="5">
        <v>1.4999999999999999E-2</v>
      </c>
      <c r="L95" s="10">
        <v>0.27800000000000002</v>
      </c>
      <c r="M95" s="10">
        <v>0.28199999999999997</v>
      </c>
      <c r="N95" s="13">
        <v>0.31416666666666665</v>
      </c>
      <c r="O95" s="13">
        <v>0.31783333333333336</v>
      </c>
      <c r="P95" s="3">
        <f t="shared" si="24"/>
        <v>3.6166666666666625E-2</v>
      </c>
      <c r="Q95" s="3">
        <f t="shared" si="25"/>
        <v>3.5833333333333384E-2</v>
      </c>
      <c r="R95" s="3">
        <f t="shared" si="20"/>
        <v>3.6000000000000004E-2</v>
      </c>
      <c r="S95" s="3">
        <f t="shared" si="21"/>
        <v>0.14141937916892547</v>
      </c>
      <c r="T95" s="3">
        <f t="shared" si="22"/>
        <v>48.407853489523191</v>
      </c>
      <c r="U95" s="3">
        <f t="shared" si="23"/>
        <v>20.33129846559974</v>
      </c>
      <c r="V95" s="14">
        <f t="shared" si="26"/>
        <v>10.16564923279987</v>
      </c>
      <c r="W95" s="3">
        <f t="shared" si="27"/>
        <v>9.555710278831878</v>
      </c>
      <c r="X95" s="21"/>
    </row>
    <row r="96" spans="1:24" x14ac:dyDescent="0.25">
      <c r="A96" s="3">
        <v>20230830</v>
      </c>
      <c r="B96" s="3" t="s">
        <v>26</v>
      </c>
      <c r="C96" s="3">
        <v>6</v>
      </c>
      <c r="D96" s="3" t="s">
        <v>29</v>
      </c>
      <c r="E96" s="3" t="s">
        <v>27</v>
      </c>
      <c r="F96" s="3" t="s">
        <v>23</v>
      </c>
      <c r="G96" s="5">
        <v>5</v>
      </c>
      <c r="H96" s="5">
        <v>10</v>
      </c>
      <c r="I96" s="5">
        <v>0.5</v>
      </c>
      <c r="J96" s="5">
        <v>0.25</v>
      </c>
      <c r="K96" s="5">
        <v>1.4999999999999999E-2</v>
      </c>
      <c r="L96" s="10">
        <v>0.29499999999999998</v>
      </c>
      <c r="M96" s="10">
        <v>0.29599999999999999</v>
      </c>
      <c r="N96" s="13">
        <v>0.312</v>
      </c>
      <c r="O96" s="13">
        <v>0.3155</v>
      </c>
      <c r="P96" s="3">
        <f t="shared" si="24"/>
        <v>1.7000000000000015E-2</v>
      </c>
      <c r="Q96" s="3">
        <f t="shared" si="25"/>
        <v>1.9500000000000017E-2</v>
      </c>
      <c r="R96" s="3">
        <f t="shared" si="20"/>
        <v>1.8250000000000016E-2</v>
      </c>
      <c r="S96" s="3">
        <f t="shared" si="21"/>
        <v>7.1691768606469211E-2</v>
      </c>
      <c r="T96" s="3">
        <f t="shared" si="22"/>
        <v>24.540092393994414</v>
      </c>
      <c r="U96" s="3">
        <f t="shared" si="23"/>
        <v>10.306838805477653</v>
      </c>
      <c r="V96" s="14">
        <f t="shared" si="26"/>
        <v>5.1534194027388267</v>
      </c>
      <c r="W96" s="3">
        <f t="shared" si="27"/>
        <v>4.8442142385744971</v>
      </c>
      <c r="X96" s="21"/>
    </row>
    <row r="97" spans="1:24" s="22" customFormat="1" x14ac:dyDescent="0.25">
      <c r="A97" s="22">
        <v>20230830</v>
      </c>
      <c r="B97" s="22" t="s">
        <v>26</v>
      </c>
      <c r="C97" s="22">
        <v>1</v>
      </c>
      <c r="D97" s="22" t="s">
        <v>31</v>
      </c>
      <c r="E97" s="22" t="s">
        <v>27</v>
      </c>
      <c r="F97" s="22" t="s">
        <v>23</v>
      </c>
      <c r="G97" s="23">
        <v>10</v>
      </c>
      <c r="J97" s="23">
        <v>0.25</v>
      </c>
      <c r="K97" s="23">
        <v>0.11</v>
      </c>
      <c r="L97" s="27">
        <v>1.194</v>
      </c>
      <c r="M97" s="27">
        <v>1.2350000000000001</v>
      </c>
      <c r="N97" s="27">
        <v>3.4847999999999999</v>
      </c>
      <c r="O97" s="27">
        <v>3.5529999999999999</v>
      </c>
      <c r="P97" s="22">
        <f t="shared" si="24"/>
        <v>2.2907999999999999</v>
      </c>
      <c r="Q97" s="22">
        <f t="shared" si="25"/>
        <v>2.3179999999999996</v>
      </c>
      <c r="R97" s="22">
        <f t="shared" si="20"/>
        <v>2.3043999999999998</v>
      </c>
      <c r="S97" s="22">
        <f t="shared" si="21"/>
        <v>1.2344197627154234</v>
      </c>
      <c r="T97" s="22">
        <f t="shared" si="22"/>
        <v>422.54188477748943</v>
      </c>
      <c r="U97" s="22">
        <f t="shared" si="23"/>
        <v>177.46759160654554</v>
      </c>
      <c r="V97" s="25">
        <f>U97*G97</f>
        <v>1774.6759160654553</v>
      </c>
      <c r="W97" s="22">
        <f t="shared" ref="W97:W108" si="31">U97*9.78</f>
        <v>1735.6330459120152</v>
      </c>
      <c r="X97" s="26">
        <f t="shared" ref="X97:X108" si="32">U97*2/1000</f>
        <v>0.35493518321309109</v>
      </c>
    </row>
    <row r="98" spans="1:24" s="22" customFormat="1" x14ac:dyDescent="0.25">
      <c r="A98" s="22">
        <v>20230830</v>
      </c>
      <c r="B98" s="22" t="s">
        <v>26</v>
      </c>
      <c r="C98" s="22">
        <v>2</v>
      </c>
      <c r="D98" s="22" t="s">
        <v>31</v>
      </c>
      <c r="E98" s="22" t="s">
        <v>27</v>
      </c>
      <c r="F98" s="22" t="s">
        <v>23</v>
      </c>
      <c r="G98" s="23">
        <v>10</v>
      </c>
      <c r="J98" s="23">
        <v>0.25</v>
      </c>
      <c r="K98" s="23">
        <v>0.11</v>
      </c>
      <c r="L98" s="27">
        <v>1.913</v>
      </c>
      <c r="M98" s="27">
        <v>1.9119999999999999</v>
      </c>
      <c r="N98" s="27">
        <v>3.9899999999999998</v>
      </c>
      <c r="O98" s="27">
        <v>3.9829999999999997</v>
      </c>
      <c r="P98" s="22">
        <f t="shared" si="24"/>
        <v>2.077</v>
      </c>
      <c r="Q98" s="22">
        <f t="shared" si="25"/>
        <v>2.0709999999999997</v>
      </c>
      <c r="R98" s="22">
        <f t="shared" si="20"/>
        <v>2.0739999999999998</v>
      </c>
      <c r="S98" s="22">
        <f t="shared" si="21"/>
        <v>1.1109992136225431</v>
      </c>
      <c r="T98" s="22">
        <f t="shared" si="22"/>
        <v>380.29503082299652</v>
      </c>
      <c r="U98" s="22">
        <f t="shared" si="23"/>
        <v>159.72391294565853</v>
      </c>
      <c r="V98" s="25">
        <f t="shared" ref="V98:V108" si="33">U98*G98</f>
        <v>1597.2391294565853</v>
      </c>
      <c r="W98" s="22">
        <f t="shared" si="31"/>
        <v>1562.0998686085402</v>
      </c>
      <c r="X98" s="26">
        <f t="shared" si="32"/>
        <v>0.31944782589131704</v>
      </c>
    </row>
    <row r="99" spans="1:24" s="22" customFormat="1" x14ac:dyDescent="0.25">
      <c r="A99" s="22">
        <v>20230830</v>
      </c>
      <c r="B99" s="22" t="s">
        <v>26</v>
      </c>
      <c r="C99" s="22">
        <v>3</v>
      </c>
      <c r="D99" s="22" t="s">
        <v>31</v>
      </c>
      <c r="E99" s="22" t="s">
        <v>27</v>
      </c>
      <c r="F99" s="22" t="s">
        <v>23</v>
      </c>
      <c r="G99" s="23">
        <v>10</v>
      </c>
      <c r="J99" s="23">
        <v>0.25</v>
      </c>
      <c r="K99" s="23">
        <v>0.11</v>
      </c>
      <c r="L99" s="27">
        <v>2.387</v>
      </c>
      <c r="M99" s="27">
        <v>2.4929999999999999</v>
      </c>
      <c r="N99" s="27">
        <v>4.0039999999999996</v>
      </c>
      <c r="O99" s="27">
        <v>4.0234000000000005</v>
      </c>
      <c r="P99" s="22">
        <f t="shared" si="24"/>
        <v>1.6169999999999995</v>
      </c>
      <c r="Q99" s="22">
        <f t="shared" si="25"/>
        <v>1.5304000000000006</v>
      </c>
      <c r="R99" s="22">
        <f t="shared" si="20"/>
        <v>1.5737000000000001</v>
      </c>
      <c r="S99" s="22">
        <f t="shared" si="21"/>
        <v>0.8429987765080984</v>
      </c>
      <c r="T99" s="22">
        <f t="shared" si="22"/>
        <v>288.55848119872212</v>
      </c>
      <c r="U99" s="22">
        <f t="shared" si="23"/>
        <v>121.19456210346328</v>
      </c>
      <c r="V99" s="25">
        <f t="shared" si="33"/>
        <v>1211.9456210346329</v>
      </c>
      <c r="W99" s="22">
        <f t="shared" si="31"/>
        <v>1185.2828173718708</v>
      </c>
      <c r="X99" s="26">
        <f t="shared" si="32"/>
        <v>0.24238912420692657</v>
      </c>
    </row>
    <row r="100" spans="1:24" s="22" customFormat="1" x14ac:dyDescent="0.25">
      <c r="A100" s="22">
        <v>20230830</v>
      </c>
      <c r="B100" s="22" t="s">
        <v>26</v>
      </c>
      <c r="C100" s="22">
        <v>4</v>
      </c>
      <c r="D100" s="22" t="s">
        <v>31</v>
      </c>
      <c r="E100" s="22" t="s">
        <v>27</v>
      </c>
      <c r="F100" s="22" t="s">
        <v>23</v>
      </c>
      <c r="G100" s="23">
        <v>10</v>
      </c>
      <c r="J100" s="23">
        <v>0.25</v>
      </c>
      <c r="K100" s="23">
        <v>0.11</v>
      </c>
      <c r="L100" s="27">
        <v>0.89800000000000002</v>
      </c>
      <c r="M100" s="27">
        <v>0.92600000000000005</v>
      </c>
      <c r="N100" s="27">
        <v>2.7966000000000006</v>
      </c>
      <c r="O100" s="27">
        <v>2.859</v>
      </c>
      <c r="P100" s="22">
        <f t="shared" si="24"/>
        <v>1.8986000000000005</v>
      </c>
      <c r="Q100" s="22">
        <f t="shared" si="25"/>
        <v>1.9329999999999998</v>
      </c>
      <c r="R100" s="22">
        <f t="shared" si="20"/>
        <v>1.9158000000000002</v>
      </c>
      <c r="S100" s="22">
        <f t="shared" si="21"/>
        <v>1.0262547220144977</v>
      </c>
      <c r="T100" s="22">
        <f t="shared" si="22"/>
        <v>351.28699134556257</v>
      </c>
      <c r="U100" s="22">
        <f t="shared" si="23"/>
        <v>147.54053636513626</v>
      </c>
      <c r="V100" s="25">
        <f t="shared" si="33"/>
        <v>1475.4053636513627</v>
      </c>
      <c r="W100" s="22">
        <f t="shared" si="31"/>
        <v>1442.9464456510325</v>
      </c>
      <c r="X100" s="26">
        <f t="shared" si="32"/>
        <v>0.29508107273027251</v>
      </c>
    </row>
    <row r="101" spans="1:24" s="22" customFormat="1" x14ac:dyDescent="0.25">
      <c r="A101" s="22">
        <v>20230830</v>
      </c>
      <c r="B101" s="22" t="s">
        <v>26</v>
      </c>
      <c r="C101" s="22">
        <v>5</v>
      </c>
      <c r="D101" s="22" t="s">
        <v>31</v>
      </c>
      <c r="E101" s="22" t="s">
        <v>27</v>
      </c>
      <c r="F101" s="22" t="s">
        <v>23</v>
      </c>
      <c r="G101" s="23">
        <v>10</v>
      </c>
      <c r="J101" s="23">
        <v>0.25</v>
      </c>
      <c r="K101" s="23">
        <v>0.11</v>
      </c>
      <c r="L101" s="27">
        <v>0.86099999999999999</v>
      </c>
      <c r="M101" s="27">
        <v>0.89700000000000002</v>
      </c>
      <c r="N101" s="27">
        <v>2.2258</v>
      </c>
      <c r="O101" s="27">
        <v>2.2955999999999999</v>
      </c>
      <c r="P101" s="22">
        <f t="shared" si="24"/>
        <v>1.3648</v>
      </c>
      <c r="Q101" s="22">
        <f t="shared" si="25"/>
        <v>1.3985999999999998</v>
      </c>
      <c r="R101" s="22">
        <f t="shared" si="20"/>
        <v>1.3816999999999999</v>
      </c>
      <c r="S101" s="22">
        <f t="shared" si="21"/>
        <v>0.74014831893069799</v>
      </c>
      <c r="T101" s="22">
        <f t="shared" si="22"/>
        <v>253.35276956997794</v>
      </c>
      <c r="U101" s="22">
        <f t="shared" si="23"/>
        <v>106.40816321939073</v>
      </c>
      <c r="V101" s="25">
        <f t="shared" si="33"/>
        <v>1064.0816321939074</v>
      </c>
      <c r="W101" s="22">
        <f t="shared" si="31"/>
        <v>1040.6718362856413</v>
      </c>
      <c r="X101" s="26">
        <f t="shared" si="32"/>
        <v>0.21281632643878146</v>
      </c>
    </row>
    <row r="102" spans="1:24" s="22" customFormat="1" x14ac:dyDescent="0.25">
      <c r="A102" s="22">
        <v>20230830</v>
      </c>
      <c r="B102" s="22" t="s">
        <v>26</v>
      </c>
      <c r="C102" s="22">
        <v>6</v>
      </c>
      <c r="D102" s="22" t="s">
        <v>31</v>
      </c>
      <c r="E102" s="22" t="s">
        <v>27</v>
      </c>
      <c r="F102" s="22" t="s">
        <v>23</v>
      </c>
      <c r="G102" s="23">
        <v>10</v>
      </c>
      <c r="J102" s="23">
        <v>0.25</v>
      </c>
      <c r="K102" s="23">
        <v>0.11</v>
      </c>
      <c r="L102" s="27">
        <v>0.82799999999999996</v>
      </c>
      <c r="M102" s="27">
        <v>0.85199999999999998</v>
      </c>
      <c r="N102" s="27">
        <v>3.6986000000000003</v>
      </c>
      <c r="O102" s="27">
        <v>3.7182000000000004</v>
      </c>
      <c r="P102" s="22">
        <f t="shared" si="24"/>
        <v>2.8706000000000005</v>
      </c>
      <c r="Q102" s="22">
        <f t="shared" si="25"/>
        <v>2.8662000000000005</v>
      </c>
      <c r="R102" s="22">
        <f t="shared" si="20"/>
        <v>2.8684000000000003</v>
      </c>
      <c r="S102" s="22">
        <f t="shared" si="21"/>
        <v>1.536542981849037</v>
      </c>
      <c r="T102" s="22">
        <f t="shared" si="22"/>
        <v>525.95866268692544</v>
      </c>
      <c r="U102" s="22">
        <f t="shared" si="23"/>
        <v>220.90263832850869</v>
      </c>
      <c r="V102" s="25">
        <f t="shared" si="33"/>
        <v>2209.0263832850869</v>
      </c>
      <c r="W102" s="22">
        <f t="shared" si="31"/>
        <v>2160.4278028528147</v>
      </c>
      <c r="X102" s="26">
        <f t="shared" si="32"/>
        <v>0.44180527665701735</v>
      </c>
    </row>
    <row r="103" spans="1:24" s="22" customFormat="1" x14ac:dyDescent="0.25">
      <c r="A103" s="22">
        <v>20230830</v>
      </c>
      <c r="B103" s="22" t="s">
        <v>26</v>
      </c>
      <c r="C103" s="22">
        <v>1</v>
      </c>
      <c r="D103" s="22" t="s">
        <v>30</v>
      </c>
      <c r="E103" s="22" t="s">
        <v>27</v>
      </c>
      <c r="F103" s="22" t="s">
        <v>23</v>
      </c>
      <c r="G103" s="23">
        <v>10</v>
      </c>
      <c r="J103" s="23">
        <v>0.25</v>
      </c>
      <c r="K103" s="23">
        <v>0.11</v>
      </c>
      <c r="L103" s="27">
        <v>0.63200000000000001</v>
      </c>
      <c r="M103" s="27">
        <v>0.64800000000000002</v>
      </c>
      <c r="N103" s="27">
        <v>2.5743999999999998</v>
      </c>
      <c r="O103" s="27">
        <v>2.6393999999999997</v>
      </c>
      <c r="P103" s="22">
        <f t="shared" si="24"/>
        <v>1.9423999999999997</v>
      </c>
      <c r="Q103" s="22">
        <f t="shared" si="25"/>
        <v>1.9913999999999996</v>
      </c>
      <c r="R103" s="22">
        <f t="shared" si="20"/>
        <v>1.9668999999999996</v>
      </c>
      <c r="S103" s="22">
        <f t="shared" si="21"/>
        <v>1.0536279427551491</v>
      </c>
      <c r="T103" s="22">
        <f t="shared" si="22"/>
        <v>360.65684480508759</v>
      </c>
      <c r="U103" s="22">
        <f t="shared" si="23"/>
        <v>151.47587481813679</v>
      </c>
      <c r="V103" s="25">
        <f t="shared" si="33"/>
        <v>1514.758748181368</v>
      </c>
      <c r="W103" s="22">
        <f t="shared" si="31"/>
        <v>1481.4340557213777</v>
      </c>
      <c r="X103" s="26">
        <f t="shared" si="32"/>
        <v>0.30295174963627358</v>
      </c>
    </row>
    <row r="104" spans="1:24" s="22" customFormat="1" x14ac:dyDescent="0.25">
      <c r="A104" s="22">
        <v>20230830</v>
      </c>
      <c r="B104" s="22" t="s">
        <v>26</v>
      </c>
      <c r="C104" s="22">
        <v>2</v>
      </c>
      <c r="D104" s="22" t="s">
        <v>30</v>
      </c>
      <c r="E104" s="22" t="s">
        <v>27</v>
      </c>
      <c r="F104" s="22" t="s">
        <v>23</v>
      </c>
      <c r="G104" s="23">
        <v>10</v>
      </c>
      <c r="J104" s="23">
        <v>0.25</v>
      </c>
      <c r="K104" s="23">
        <v>0.11</v>
      </c>
      <c r="L104" s="27">
        <v>0.63300000000000001</v>
      </c>
      <c r="M104" s="27">
        <v>0.63800000000000001</v>
      </c>
      <c r="N104" s="27">
        <v>2.5776000000000003</v>
      </c>
      <c r="O104" s="27">
        <v>2.6001999999999996</v>
      </c>
      <c r="P104" s="22">
        <f t="shared" si="24"/>
        <v>1.9446000000000003</v>
      </c>
      <c r="Q104" s="22">
        <f t="shared" si="25"/>
        <v>1.9621999999999997</v>
      </c>
      <c r="R104" s="22">
        <f t="shared" si="20"/>
        <v>1.9534</v>
      </c>
      <c r="S104" s="22">
        <f t="shared" si="21"/>
        <v>1.0463962699567384</v>
      </c>
      <c r="T104" s="22">
        <f t="shared" si="22"/>
        <v>358.18144320619155</v>
      </c>
      <c r="U104" s="22">
        <f t="shared" si="23"/>
        <v>150.43620614660045</v>
      </c>
      <c r="V104" s="25">
        <f t="shared" si="33"/>
        <v>1504.3620614660044</v>
      </c>
      <c r="W104" s="22">
        <f t="shared" si="31"/>
        <v>1471.2660961137524</v>
      </c>
      <c r="X104" s="26">
        <f t="shared" si="32"/>
        <v>0.30087241229320089</v>
      </c>
    </row>
    <row r="105" spans="1:24" s="22" customFormat="1" x14ac:dyDescent="0.25">
      <c r="A105" s="22">
        <v>20230830</v>
      </c>
      <c r="B105" s="22" t="s">
        <v>26</v>
      </c>
      <c r="C105" s="22">
        <v>3</v>
      </c>
      <c r="D105" s="22" t="s">
        <v>30</v>
      </c>
      <c r="E105" s="22" t="s">
        <v>27</v>
      </c>
      <c r="F105" s="22" t="s">
        <v>23</v>
      </c>
      <c r="G105" s="23">
        <v>10</v>
      </c>
      <c r="J105" s="23">
        <v>0.25</v>
      </c>
      <c r="K105" s="23">
        <v>0.11</v>
      </c>
      <c r="L105" s="27">
        <v>0.56799999999999995</v>
      </c>
      <c r="M105" s="27">
        <v>0.59</v>
      </c>
      <c r="N105" s="27">
        <v>2.4134000000000002</v>
      </c>
      <c r="O105" s="27">
        <v>2.4973999999999998</v>
      </c>
      <c r="P105" s="22">
        <f t="shared" si="24"/>
        <v>1.8454000000000002</v>
      </c>
      <c r="Q105" s="22">
        <f t="shared" si="25"/>
        <v>1.9074</v>
      </c>
      <c r="R105" s="22">
        <f t="shared" si="20"/>
        <v>1.8764000000000001</v>
      </c>
      <c r="S105" s="22">
        <f t="shared" si="21"/>
        <v>1.0051489510324685</v>
      </c>
      <c r="T105" s="22">
        <f t="shared" si="22"/>
        <v>344.062485938414</v>
      </c>
      <c r="U105" s="22">
        <f t="shared" si="23"/>
        <v>144.50624409413388</v>
      </c>
      <c r="V105" s="25">
        <f t="shared" si="33"/>
        <v>1445.0624409413388</v>
      </c>
      <c r="W105" s="22">
        <f t="shared" si="31"/>
        <v>1413.2710672406292</v>
      </c>
      <c r="X105" s="26">
        <f t="shared" si="32"/>
        <v>0.28901248818826775</v>
      </c>
    </row>
    <row r="106" spans="1:24" s="22" customFormat="1" x14ac:dyDescent="0.25">
      <c r="A106" s="22">
        <v>20230830</v>
      </c>
      <c r="B106" s="22" t="s">
        <v>26</v>
      </c>
      <c r="C106" s="22">
        <v>4</v>
      </c>
      <c r="D106" s="22" t="s">
        <v>30</v>
      </c>
      <c r="E106" s="22" t="s">
        <v>27</v>
      </c>
      <c r="F106" s="22" t="s">
        <v>23</v>
      </c>
      <c r="G106" s="23">
        <v>10</v>
      </c>
      <c r="J106" s="23">
        <v>0.25</v>
      </c>
      <c r="K106" s="23">
        <v>0.11</v>
      </c>
      <c r="L106" s="27">
        <v>0.432</v>
      </c>
      <c r="M106" s="27">
        <v>0.44400000000000001</v>
      </c>
      <c r="N106" s="27">
        <v>1.3606000000000003</v>
      </c>
      <c r="O106" s="27">
        <v>1.39</v>
      </c>
      <c r="P106" s="22">
        <f t="shared" si="24"/>
        <v>0.92860000000000031</v>
      </c>
      <c r="Q106" s="22">
        <f t="shared" si="25"/>
        <v>0.94599999999999995</v>
      </c>
      <c r="R106" s="22">
        <f t="shared" si="20"/>
        <v>0.93730000000000013</v>
      </c>
      <c r="S106" s="22">
        <f t="shared" si="21"/>
        <v>0.50209236399634027</v>
      </c>
      <c r="T106" s="22">
        <f t="shared" si="22"/>
        <v>171.86621619594729</v>
      </c>
      <c r="U106" s="22">
        <f t="shared" si="23"/>
        <v>72.183810802297856</v>
      </c>
      <c r="V106" s="25">
        <f t="shared" si="33"/>
        <v>721.83810802297853</v>
      </c>
      <c r="W106" s="22">
        <f t="shared" si="31"/>
        <v>705.95766964647294</v>
      </c>
      <c r="X106" s="26">
        <f t="shared" si="32"/>
        <v>0.14436762160459571</v>
      </c>
    </row>
    <row r="107" spans="1:24" s="22" customFormat="1" x14ac:dyDescent="0.25">
      <c r="A107" s="22">
        <v>20230830</v>
      </c>
      <c r="B107" s="22" t="s">
        <v>26</v>
      </c>
      <c r="C107" s="22">
        <v>5</v>
      </c>
      <c r="D107" s="22" t="s">
        <v>30</v>
      </c>
      <c r="E107" s="22" t="s">
        <v>27</v>
      </c>
      <c r="F107" s="22" t="s">
        <v>23</v>
      </c>
      <c r="G107" s="23">
        <v>10</v>
      </c>
      <c r="J107" s="23">
        <v>0.25</v>
      </c>
      <c r="K107" s="23">
        <v>0.11</v>
      </c>
      <c r="L107" s="27">
        <v>0.41599999999999998</v>
      </c>
      <c r="M107" s="27">
        <v>0.42099999999999999</v>
      </c>
      <c r="N107" s="27">
        <v>1.6552</v>
      </c>
      <c r="O107" s="27">
        <v>1.6770000000000003</v>
      </c>
      <c r="P107" s="22">
        <f t="shared" si="24"/>
        <v>1.2392000000000001</v>
      </c>
      <c r="Q107" s="22">
        <f t="shared" si="25"/>
        <v>1.2560000000000002</v>
      </c>
      <c r="R107" s="22">
        <f t="shared" si="20"/>
        <v>1.2476000000000003</v>
      </c>
      <c r="S107" s="22">
        <f t="shared" si="21"/>
        <v>0.66831370246648258</v>
      </c>
      <c r="T107" s="22">
        <f t="shared" si="22"/>
        <v>228.763780354277</v>
      </c>
      <c r="U107" s="22">
        <f t="shared" si="23"/>
        <v>96.08078774879634</v>
      </c>
      <c r="V107" s="25">
        <f t="shared" si="33"/>
        <v>960.80787748796342</v>
      </c>
      <c r="W107" s="22">
        <f t="shared" si="31"/>
        <v>939.67010418322809</v>
      </c>
      <c r="X107" s="26">
        <f t="shared" si="32"/>
        <v>0.19216157549759269</v>
      </c>
    </row>
    <row r="108" spans="1:24" s="22" customFormat="1" x14ac:dyDescent="0.25">
      <c r="A108" s="22">
        <v>20230830</v>
      </c>
      <c r="B108" s="22" t="s">
        <v>26</v>
      </c>
      <c r="C108" s="22">
        <v>6</v>
      </c>
      <c r="D108" s="22" t="s">
        <v>30</v>
      </c>
      <c r="E108" s="22" t="s">
        <v>27</v>
      </c>
      <c r="F108" s="22" t="s">
        <v>23</v>
      </c>
      <c r="G108" s="23">
        <v>10</v>
      </c>
      <c r="J108" s="23">
        <v>0.25</v>
      </c>
      <c r="K108" s="23">
        <v>0.11</v>
      </c>
      <c r="L108" s="27">
        <v>0.42</v>
      </c>
      <c r="M108" s="27">
        <v>0.42499999999999999</v>
      </c>
      <c r="N108" s="27">
        <v>1.5165999999999999</v>
      </c>
      <c r="O108" s="27">
        <v>1.5402</v>
      </c>
      <c r="P108" s="22">
        <f t="shared" si="24"/>
        <v>1.0966</v>
      </c>
      <c r="Q108" s="22">
        <f t="shared" si="25"/>
        <v>1.1152</v>
      </c>
      <c r="R108" s="22">
        <f t="shared" si="20"/>
        <v>1.1059000000000001</v>
      </c>
      <c r="S108" s="22">
        <f t="shared" si="21"/>
        <v>0.59240792205649484</v>
      </c>
      <c r="T108" s="22">
        <f t="shared" si="22"/>
        <v>202.78123171993818</v>
      </c>
      <c r="U108" s="22">
        <f t="shared" si="23"/>
        <v>85.16811732237403</v>
      </c>
      <c r="V108" s="25">
        <f t="shared" si="33"/>
        <v>851.6811732237403</v>
      </c>
      <c r="W108" s="22">
        <f t="shared" si="31"/>
        <v>832.944187412818</v>
      </c>
      <c r="X108" s="26">
        <f t="shared" si="32"/>
        <v>0.17033623464474806</v>
      </c>
    </row>
    <row r="109" spans="1:24" x14ac:dyDescent="0.25">
      <c r="A109" s="3">
        <v>20230901</v>
      </c>
      <c r="B109" s="3" t="s">
        <v>26</v>
      </c>
      <c r="C109" s="3">
        <v>1</v>
      </c>
      <c r="D109" s="3" t="s">
        <v>29</v>
      </c>
      <c r="E109" s="3" t="s">
        <v>27</v>
      </c>
      <c r="F109" s="3" t="s">
        <v>24</v>
      </c>
      <c r="G109" s="5">
        <v>5</v>
      </c>
      <c r="H109" s="5">
        <v>10</v>
      </c>
      <c r="I109" s="5">
        <v>0.5</v>
      </c>
      <c r="J109" s="5">
        <v>0.25</v>
      </c>
      <c r="K109" s="5">
        <v>1.4999999999999999E-2</v>
      </c>
      <c r="L109" s="10">
        <v>0.30399999999999999</v>
      </c>
      <c r="M109" s="10">
        <v>0.31</v>
      </c>
      <c r="N109" s="13">
        <v>0.32900000000000001</v>
      </c>
      <c r="O109" s="13">
        <v>0.33850000000000002</v>
      </c>
      <c r="P109" s="3">
        <f t="shared" si="24"/>
        <v>2.5000000000000022E-2</v>
      </c>
      <c r="Q109" s="3">
        <f t="shared" si="25"/>
        <v>2.8500000000000025E-2</v>
      </c>
      <c r="R109" s="3">
        <f t="shared" si="20"/>
        <v>2.6750000000000024E-2</v>
      </c>
      <c r="S109" s="3">
        <f t="shared" si="21"/>
        <v>0.10508245535468774</v>
      </c>
      <c r="T109" s="3">
        <f t="shared" si="22"/>
        <v>35.969724467909614</v>
      </c>
      <c r="U109" s="3">
        <f t="shared" si="23"/>
        <v>15.107284276522037</v>
      </c>
      <c r="V109" s="14">
        <f t="shared" si="26"/>
        <v>7.5536421382610186</v>
      </c>
      <c r="W109" s="3">
        <f t="shared" si="27"/>
        <v>7.1004236099653575</v>
      </c>
      <c r="X109" s="21"/>
    </row>
    <row r="110" spans="1:24" x14ac:dyDescent="0.25">
      <c r="A110" s="3">
        <v>20230901</v>
      </c>
      <c r="B110" s="3" t="s">
        <v>26</v>
      </c>
      <c r="C110" s="3">
        <v>2</v>
      </c>
      <c r="D110" s="3" t="s">
        <v>29</v>
      </c>
      <c r="E110" s="3" t="s">
        <v>27</v>
      </c>
      <c r="F110" s="3" t="s">
        <v>24</v>
      </c>
      <c r="G110" s="5">
        <v>5</v>
      </c>
      <c r="H110" s="5">
        <v>10</v>
      </c>
      <c r="I110" s="5">
        <v>0.5</v>
      </c>
      <c r="J110" s="5">
        <v>0.25</v>
      </c>
      <c r="K110" s="5">
        <v>1.4999999999999999E-2</v>
      </c>
      <c r="L110" s="10">
        <v>0.31900000000000001</v>
      </c>
      <c r="M110" s="10">
        <v>0.32500000000000001</v>
      </c>
      <c r="N110" s="13">
        <v>0.37516666666666665</v>
      </c>
      <c r="O110" s="13">
        <v>0.37999999999999995</v>
      </c>
      <c r="P110" s="3">
        <f t="shared" si="24"/>
        <v>5.6166666666666643E-2</v>
      </c>
      <c r="Q110" s="3">
        <f t="shared" si="25"/>
        <v>5.4999999999999938E-2</v>
      </c>
      <c r="R110" s="3">
        <f t="shared" si="20"/>
        <v>5.558333333333329E-2</v>
      </c>
      <c r="S110" s="3">
        <f t="shared" si="21"/>
        <v>0.21834890255942871</v>
      </c>
      <c r="T110" s="3">
        <f t="shared" si="22"/>
        <v>74.740829346092454</v>
      </c>
      <c r="U110" s="3">
        <f t="shared" si="23"/>
        <v>31.391148325358831</v>
      </c>
      <c r="V110" s="14">
        <f t="shared" si="26"/>
        <v>15.695574162679415</v>
      </c>
      <c r="W110" s="3">
        <f t="shared" si="27"/>
        <v>14.75383971291865</v>
      </c>
      <c r="X110" s="21"/>
    </row>
    <row r="111" spans="1:24" x14ac:dyDescent="0.25">
      <c r="A111" s="3">
        <v>20230901</v>
      </c>
      <c r="B111" s="3" t="s">
        <v>26</v>
      </c>
      <c r="C111" s="3">
        <v>3</v>
      </c>
      <c r="D111" s="3" t="s">
        <v>29</v>
      </c>
      <c r="E111" s="3" t="s">
        <v>27</v>
      </c>
      <c r="F111" s="3" t="s">
        <v>24</v>
      </c>
      <c r="G111" s="5">
        <v>5</v>
      </c>
      <c r="H111" s="5">
        <v>10</v>
      </c>
      <c r="I111" s="5">
        <v>0.5</v>
      </c>
      <c r="J111" s="5">
        <v>0.25</v>
      </c>
      <c r="K111" s="5">
        <v>1.4999999999999999E-2</v>
      </c>
      <c r="L111" s="10">
        <v>0.28100000000000003</v>
      </c>
      <c r="M111" s="10">
        <v>0.27900000000000003</v>
      </c>
      <c r="N111" s="13">
        <v>0.29199999999999998</v>
      </c>
      <c r="O111" s="13">
        <v>0.29499999999999998</v>
      </c>
      <c r="P111" s="3">
        <f t="shared" si="24"/>
        <v>1.0999999999999954E-2</v>
      </c>
      <c r="Q111" s="3">
        <f t="shared" si="25"/>
        <v>1.5999999999999959E-2</v>
      </c>
      <c r="R111" s="3">
        <f t="shared" si="20"/>
        <v>1.3499999999999956E-2</v>
      </c>
      <c r="S111" s="3">
        <f t="shared" si="21"/>
        <v>5.3032267188346874E-2</v>
      </c>
      <c r="T111" s="3">
        <f t="shared" si="22"/>
        <v>18.152945058571134</v>
      </c>
      <c r="U111" s="3">
        <f t="shared" si="23"/>
        <v>7.6242369245998765</v>
      </c>
      <c r="V111" s="14">
        <f t="shared" si="26"/>
        <v>3.8121184622999382</v>
      </c>
      <c r="W111" s="3">
        <f t="shared" si="27"/>
        <v>3.5833913545619418</v>
      </c>
      <c r="X111" s="21"/>
    </row>
    <row r="112" spans="1:24" x14ac:dyDescent="0.25">
      <c r="A112" s="3">
        <v>20230901</v>
      </c>
      <c r="B112" s="3" t="s">
        <v>26</v>
      </c>
      <c r="C112" s="3">
        <v>4</v>
      </c>
      <c r="D112" s="3" t="s">
        <v>29</v>
      </c>
      <c r="E112" s="3" t="s">
        <v>27</v>
      </c>
      <c r="F112" s="3" t="s">
        <v>24</v>
      </c>
      <c r="G112" s="5">
        <v>5</v>
      </c>
      <c r="H112" s="5">
        <v>10</v>
      </c>
      <c r="I112" s="5">
        <v>0.5</v>
      </c>
      <c r="J112" s="5">
        <v>0.25</v>
      </c>
      <c r="K112" s="5">
        <v>1.4999999999999999E-2</v>
      </c>
      <c r="L112" s="10">
        <v>0.29699999999999999</v>
      </c>
      <c r="M112" s="10">
        <v>0.29699999999999999</v>
      </c>
      <c r="N112" s="13">
        <v>0.32933333333333331</v>
      </c>
      <c r="O112" s="13">
        <v>0.33700000000000002</v>
      </c>
      <c r="P112" s="3">
        <f t="shared" si="24"/>
        <v>3.2333333333333325E-2</v>
      </c>
      <c r="Q112" s="3">
        <f t="shared" si="25"/>
        <v>4.0000000000000036E-2</v>
      </c>
      <c r="R112" s="3">
        <f t="shared" si="20"/>
        <v>3.616666666666668E-2</v>
      </c>
      <c r="S112" s="3">
        <f t="shared" si="21"/>
        <v>0.14207409851692979</v>
      </c>
      <c r="T112" s="3">
        <f t="shared" si="22"/>
        <v>48.631963922345065</v>
      </c>
      <c r="U112" s="3">
        <f t="shared" si="23"/>
        <v>20.425424847384928</v>
      </c>
      <c r="V112" s="14">
        <f t="shared" si="26"/>
        <v>10.212712423692464</v>
      </c>
      <c r="W112" s="3">
        <f t="shared" si="27"/>
        <v>9.5999496782709155</v>
      </c>
      <c r="X112" s="21"/>
    </row>
    <row r="113" spans="1:24" x14ac:dyDescent="0.25">
      <c r="A113" s="3">
        <v>20230901</v>
      </c>
      <c r="B113" s="3" t="s">
        <v>26</v>
      </c>
      <c r="C113" s="3">
        <v>5</v>
      </c>
      <c r="D113" s="3" t="s">
        <v>29</v>
      </c>
      <c r="E113" s="3" t="s">
        <v>27</v>
      </c>
      <c r="F113" s="3" t="s">
        <v>24</v>
      </c>
      <c r="G113" s="5">
        <v>5</v>
      </c>
      <c r="H113" s="5">
        <v>10</v>
      </c>
      <c r="I113" s="5">
        <v>0.5</v>
      </c>
      <c r="J113" s="5">
        <v>0.25</v>
      </c>
      <c r="K113" s="5">
        <v>1.4999999999999999E-2</v>
      </c>
      <c r="L113" s="10">
        <v>0.29499999999999998</v>
      </c>
      <c r="M113" s="10">
        <v>0.28999999999999998</v>
      </c>
      <c r="N113" s="13">
        <v>0.3145</v>
      </c>
      <c r="O113" s="13">
        <v>0.32</v>
      </c>
      <c r="P113" s="3">
        <f t="shared" si="24"/>
        <v>1.9500000000000017E-2</v>
      </c>
      <c r="Q113" s="3">
        <f t="shared" si="25"/>
        <v>3.0000000000000027E-2</v>
      </c>
      <c r="R113" s="3">
        <f t="shared" si="20"/>
        <v>2.4750000000000022E-2</v>
      </c>
      <c r="S113" s="3">
        <f t="shared" si="21"/>
        <v>9.7225823178636331E-2</v>
      </c>
      <c r="T113" s="3">
        <f t="shared" si="22"/>
        <v>33.28039927404722</v>
      </c>
      <c r="U113" s="3">
        <f t="shared" si="23"/>
        <v>13.977767695099832</v>
      </c>
      <c r="V113" s="14">
        <f t="shared" si="26"/>
        <v>6.988883847549916</v>
      </c>
      <c r="W113" s="3">
        <f t="shared" si="27"/>
        <v>6.5695508166969203</v>
      </c>
      <c r="X113" s="21"/>
    </row>
    <row r="114" spans="1:24" x14ac:dyDescent="0.25">
      <c r="A114" s="3">
        <v>20230901</v>
      </c>
      <c r="B114" s="3" t="s">
        <v>26</v>
      </c>
      <c r="C114" s="3">
        <v>6</v>
      </c>
      <c r="D114" s="3" t="s">
        <v>29</v>
      </c>
      <c r="E114" s="3" t="s">
        <v>27</v>
      </c>
      <c r="F114" s="3" t="s">
        <v>24</v>
      </c>
      <c r="G114" s="5">
        <v>5</v>
      </c>
      <c r="H114" s="5">
        <v>10</v>
      </c>
      <c r="I114" s="5">
        <v>0.5</v>
      </c>
      <c r="J114" s="5">
        <v>0.25</v>
      </c>
      <c r="K114" s="5">
        <v>1.4999999999999999E-2</v>
      </c>
      <c r="L114" s="10">
        <v>0.28799999999999998</v>
      </c>
      <c r="M114" s="10">
        <v>0.28499999999999998</v>
      </c>
      <c r="N114" s="13">
        <v>0.30083333333333334</v>
      </c>
      <c r="O114" s="13">
        <v>0.308</v>
      </c>
      <c r="P114" s="3">
        <f t="shared" si="24"/>
        <v>1.2833333333333363E-2</v>
      </c>
      <c r="Q114" s="3">
        <f t="shared" si="25"/>
        <v>2.300000000000002E-2</v>
      </c>
      <c r="R114" s="3">
        <f t="shared" si="20"/>
        <v>1.7916666666666692E-2</v>
      </c>
      <c r="S114" s="3">
        <f t="shared" si="21"/>
        <v>7.0382329910460686E-2</v>
      </c>
      <c r="T114" s="3">
        <f t="shared" si="22"/>
        <v>24.091871528350694</v>
      </c>
      <c r="U114" s="3">
        <f t="shared" si="23"/>
        <v>10.118586041907291</v>
      </c>
      <c r="V114" s="14">
        <f t="shared" si="26"/>
        <v>5.0592930209536453</v>
      </c>
      <c r="W114" s="3">
        <f t="shared" si="27"/>
        <v>4.7557354396964264</v>
      </c>
      <c r="X114" s="21"/>
    </row>
    <row r="115" spans="1:24" s="22" customFormat="1" x14ac:dyDescent="0.25">
      <c r="A115" s="22">
        <v>20230901</v>
      </c>
      <c r="B115" s="22" t="s">
        <v>26</v>
      </c>
      <c r="C115" s="22">
        <v>1</v>
      </c>
      <c r="D115" s="22" t="s">
        <v>31</v>
      </c>
      <c r="E115" s="22" t="s">
        <v>27</v>
      </c>
      <c r="F115" s="22" t="s">
        <v>24</v>
      </c>
      <c r="G115" s="23">
        <v>10</v>
      </c>
      <c r="J115" s="23">
        <v>0.25</v>
      </c>
      <c r="K115" s="23">
        <v>0.11</v>
      </c>
      <c r="L115" s="27">
        <v>2.4980000000000002</v>
      </c>
      <c r="M115" s="27">
        <v>2.5720000000000001</v>
      </c>
      <c r="N115" s="27">
        <v>3.9147999999999996</v>
      </c>
      <c r="O115" s="27">
        <v>3.9389999999999992</v>
      </c>
      <c r="P115" s="22">
        <f t="shared" si="24"/>
        <v>1.4167999999999994</v>
      </c>
      <c r="Q115" s="22">
        <f t="shared" si="25"/>
        <v>1.3669999999999991</v>
      </c>
      <c r="R115" s="22">
        <f t="shared" si="20"/>
        <v>1.3918999999999992</v>
      </c>
      <c r="S115" s="22">
        <f t="shared" si="21"/>
        <v>0.745612249489497</v>
      </c>
      <c r="T115" s="22">
        <f t="shared" si="22"/>
        <v>255.22307300025483</v>
      </c>
      <c r="U115" s="22">
        <f t="shared" si="23"/>
        <v>107.19369066010702</v>
      </c>
      <c r="V115" s="25">
        <f>U115*G115</f>
        <v>1071.9369066010702</v>
      </c>
      <c r="W115" s="22">
        <f t="shared" ref="W115:W126" si="34">U115*9.78</f>
        <v>1048.3542946558466</v>
      </c>
      <c r="X115" s="26">
        <f t="shared" ref="X115:X126" si="35">U115*2/1000</f>
        <v>0.21438738132021404</v>
      </c>
    </row>
    <row r="116" spans="1:24" s="22" customFormat="1" x14ac:dyDescent="0.25">
      <c r="A116" s="22">
        <v>20230901</v>
      </c>
      <c r="B116" s="22" t="s">
        <v>26</v>
      </c>
      <c r="C116" s="22">
        <v>2</v>
      </c>
      <c r="D116" s="22" t="s">
        <v>31</v>
      </c>
      <c r="E116" s="22" t="s">
        <v>27</v>
      </c>
      <c r="F116" s="22" t="s">
        <v>24</v>
      </c>
      <c r="G116" s="23">
        <v>10</v>
      </c>
      <c r="J116" s="23">
        <v>0.25</v>
      </c>
      <c r="K116" s="23">
        <v>0.11</v>
      </c>
      <c r="L116" s="27">
        <v>1.611</v>
      </c>
      <c r="M116" s="27">
        <v>1.6319999999999999</v>
      </c>
      <c r="N116" s="27">
        <v>3.7320000000000002</v>
      </c>
      <c r="O116" s="27">
        <v>3.7313999999999998</v>
      </c>
      <c r="P116" s="22">
        <f t="shared" si="24"/>
        <v>2.1210000000000004</v>
      </c>
      <c r="Q116" s="22">
        <f t="shared" si="25"/>
        <v>2.0994000000000002</v>
      </c>
      <c r="R116" s="22">
        <f t="shared" si="20"/>
        <v>2.1102000000000003</v>
      </c>
      <c r="S116" s="22">
        <f t="shared" si="21"/>
        <v>1.1303908103116156</v>
      </c>
      <c r="T116" s="22">
        <f t="shared" si="22"/>
        <v>386.93277436966605</v>
      </c>
      <c r="U116" s="22">
        <f t="shared" si="23"/>
        <v>162.51176523525973</v>
      </c>
      <c r="V116" s="25">
        <f t="shared" ref="V116:V126" si="36">U116*G116</f>
        <v>1625.1176523525974</v>
      </c>
      <c r="W116" s="22">
        <f t="shared" si="34"/>
        <v>1589.36506400084</v>
      </c>
      <c r="X116" s="26">
        <f t="shared" si="35"/>
        <v>0.32502353047051946</v>
      </c>
    </row>
    <row r="117" spans="1:24" s="22" customFormat="1" x14ac:dyDescent="0.25">
      <c r="A117" s="22">
        <v>20230901</v>
      </c>
      <c r="B117" s="22" t="s">
        <v>26</v>
      </c>
      <c r="C117" s="22">
        <v>3</v>
      </c>
      <c r="D117" s="22" t="s">
        <v>31</v>
      </c>
      <c r="E117" s="22" t="s">
        <v>27</v>
      </c>
      <c r="F117" s="22" t="s">
        <v>24</v>
      </c>
      <c r="G117" s="23">
        <v>10</v>
      </c>
      <c r="J117" s="23">
        <v>0.25</v>
      </c>
      <c r="K117" s="23">
        <v>0.11</v>
      </c>
      <c r="L117" s="27">
        <v>1.2150000000000001</v>
      </c>
      <c r="M117" s="27">
        <v>1.1930000000000001</v>
      </c>
      <c r="N117" s="27">
        <v>3.6642000000000001</v>
      </c>
      <c r="O117" s="27">
        <v>3.6444000000000001</v>
      </c>
      <c r="P117" s="22">
        <f t="shared" si="24"/>
        <v>2.4492000000000003</v>
      </c>
      <c r="Q117" s="22">
        <f t="shared" si="25"/>
        <v>2.4514</v>
      </c>
      <c r="R117" s="22">
        <f t="shared" si="20"/>
        <v>2.4503000000000004</v>
      </c>
      <c r="S117" s="22">
        <f t="shared" si="21"/>
        <v>1.312575396884917</v>
      </c>
      <c r="T117" s="22">
        <f t="shared" si="22"/>
        <v>449.29455835370709</v>
      </c>
      <c r="U117" s="22">
        <f t="shared" si="23"/>
        <v>188.70371450855697</v>
      </c>
      <c r="V117" s="25">
        <f t="shared" si="36"/>
        <v>1887.0371450855696</v>
      </c>
      <c r="W117" s="22">
        <f t="shared" si="34"/>
        <v>1845.5223278936871</v>
      </c>
      <c r="X117" s="26">
        <f t="shared" si="35"/>
        <v>0.37740742901711394</v>
      </c>
    </row>
    <row r="118" spans="1:24" s="22" customFormat="1" x14ac:dyDescent="0.25">
      <c r="A118" s="22">
        <v>20230901</v>
      </c>
      <c r="B118" s="22" t="s">
        <v>26</v>
      </c>
      <c r="C118" s="22">
        <v>4</v>
      </c>
      <c r="D118" s="22" t="s">
        <v>31</v>
      </c>
      <c r="E118" s="22" t="s">
        <v>27</v>
      </c>
      <c r="F118" s="22" t="s">
        <v>24</v>
      </c>
      <c r="G118" s="23">
        <v>10</v>
      </c>
      <c r="J118" s="23">
        <v>0.25</v>
      </c>
      <c r="K118" s="23">
        <v>0.11</v>
      </c>
      <c r="L118" s="27">
        <v>1.6279999999999999</v>
      </c>
      <c r="M118" s="27">
        <v>1.6419999999999999</v>
      </c>
      <c r="N118" s="27">
        <v>3.8043999999999998</v>
      </c>
      <c r="O118" s="27">
        <v>3.7990000000000004</v>
      </c>
      <c r="P118" s="22">
        <f t="shared" si="24"/>
        <v>2.1764000000000001</v>
      </c>
      <c r="Q118" s="22">
        <f t="shared" si="25"/>
        <v>2.1570000000000005</v>
      </c>
      <c r="R118" s="22">
        <f t="shared" si="20"/>
        <v>2.1667000000000005</v>
      </c>
      <c r="S118" s="22">
        <f t="shared" si="21"/>
        <v>1.1606567001716319</v>
      </c>
      <c r="T118" s="22">
        <f t="shared" si="22"/>
        <v>397.29278846874962</v>
      </c>
      <c r="U118" s="22">
        <f t="shared" si="23"/>
        <v>166.86297115687483</v>
      </c>
      <c r="V118" s="25">
        <f t="shared" si="36"/>
        <v>1668.6297115687485</v>
      </c>
      <c r="W118" s="22">
        <f t="shared" si="34"/>
        <v>1631.9198579142358</v>
      </c>
      <c r="X118" s="26">
        <f t="shared" si="35"/>
        <v>0.33372594231374969</v>
      </c>
    </row>
    <row r="119" spans="1:24" s="22" customFormat="1" x14ac:dyDescent="0.25">
      <c r="A119" s="22">
        <v>20230901</v>
      </c>
      <c r="B119" s="22" t="s">
        <v>26</v>
      </c>
      <c r="C119" s="22">
        <v>5</v>
      </c>
      <c r="D119" s="22" t="s">
        <v>31</v>
      </c>
      <c r="E119" s="22" t="s">
        <v>27</v>
      </c>
      <c r="F119" s="22" t="s">
        <v>24</v>
      </c>
      <c r="G119" s="23">
        <v>10</v>
      </c>
      <c r="J119" s="23">
        <v>0.25</v>
      </c>
      <c r="K119" s="23">
        <v>0.11</v>
      </c>
      <c r="L119" s="27">
        <v>1.4079999999999999</v>
      </c>
      <c r="M119" s="27">
        <v>1.4239999999999999</v>
      </c>
      <c r="N119" s="27">
        <v>3.7305999999999999</v>
      </c>
      <c r="O119" s="27">
        <v>3.7296</v>
      </c>
      <c r="P119" s="22">
        <f t="shared" si="24"/>
        <v>2.3226</v>
      </c>
      <c r="Q119" s="22">
        <f t="shared" si="25"/>
        <v>2.3056000000000001</v>
      </c>
      <c r="R119" s="22">
        <f t="shared" si="20"/>
        <v>2.3140999999999998</v>
      </c>
      <c r="S119" s="22">
        <f t="shared" si="21"/>
        <v>1.2396158535409483</v>
      </c>
      <c r="T119" s="22">
        <f t="shared" si="22"/>
        <v>424.32050666706658</v>
      </c>
      <c r="U119" s="22">
        <f t="shared" si="23"/>
        <v>178.21461280016797</v>
      </c>
      <c r="V119" s="25">
        <f t="shared" si="36"/>
        <v>1782.1461280016797</v>
      </c>
      <c r="W119" s="22">
        <f t="shared" si="34"/>
        <v>1742.9389131856426</v>
      </c>
      <c r="X119" s="26">
        <f t="shared" si="35"/>
        <v>0.35642922560033596</v>
      </c>
    </row>
    <row r="120" spans="1:24" s="22" customFormat="1" x14ac:dyDescent="0.25">
      <c r="A120" s="22">
        <v>20230901</v>
      </c>
      <c r="B120" s="22" t="s">
        <v>26</v>
      </c>
      <c r="C120" s="22">
        <v>6</v>
      </c>
      <c r="D120" s="22" t="s">
        <v>31</v>
      </c>
      <c r="E120" s="22" t="s">
        <v>27</v>
      </c>
      <c r="F120" s="22" t="s">
        <v>24</v>
      </c>
      <c r="G120" s="23">
        <v>10</v>
      </c>
      <c r="J120" s="23">
        <v>0.25</v>
      </c>
      <c r="K120" s="23">
        <v>0.11</v>
      </c>
      <c r="L120" s="27">
        <v>1.4390000000000001</v>
      </c>
      <c r="M120" s="27">
        <v>1.4690000000000001</v>
      </c>
      <c r="N120" s="27">
        <v>3.7416000000000005</v>
      </c>
      <c r="O120" s="27">
        <v>3.7294000000000005</v>
      </c>
      <c r="P120" s="22">
        <f t="shared" si="24"/>
        <v>2.3026000000000004</v>
      </c>
      <c r="Q120" s="22">
        <f t="shared" si="25"/>
        <v>2.2604000000000006</v>
      </c>
      <c r="R120" s="22">
        <f t="shared" si="20"/>
        <v>2.2815000000000003</v>
      </c>
      <c r="S120" s="22">
        <f t="shared" si="21"/>
        <v>1.2221527029314525</v>
      </c>
      <c r="T120" s="22">
        <f t="shared" si="22"/>
        <v>418.34287021343619</v>
      </c>
      <c r="U120" s="22">
        <f t="shared" si="23"/>
        <v>175.70400548964318</v>
      </c>
      <c r="V120" s="25">
        <f t="shared" si="36"/>
        <v>1757.0400548964317</v>
      </c>
      <c r="W120" s="22">
        <f t="shared" si="34"/>
        <v>1718.3851736887102</v>
      </c>
      <c r="X120" s="26">
        <f t="shared" si="35"/>
        <v>0.35140801097928637</v>
      </c>
    </row>
    <row r="121" spans="1:24" s="22" customFormat="1" x14ac:dyDescent="0.25">
      <c r="A121" s="22">
        <v>20230901</v>
      </c>
      <c r="B121" s="22" t="s">
        <v>26</v>
      </c>
      <c r="C121" s="22">
        <v>1</v>
      </c>
      <c r="D121" s="22" t="s">
        <v>30</v>
      </c>
      <c r="E121" s="22" t="s">
        <v>27</v>
      </c>
      <c r="F121" s="22" t="s">
        <v>24</v>
      </c>
      <c r="G121" s="23">
        <v>10</v>
      </c>
      <c r="J121" s="23">
        <v>0.25</v>
      </c>
      <c r="K121" s="23">
        <v>0.11</v>
      </c>
      <c r="L121" s="27">
        <v>0.64700000000000002</v>
      </c>
      <c r="M121" s="27">
        <v>0.65200000000000002</v>
      </c>
      <c r="N121" s="27">
        <v>3.0029999999999997</v>
      </c>
      <c r="O121" s="27">
        <v>3.0206</v>
      </c>
      <c r="P121" s="22">
        <f t="shared" si="24"/>
        <v>2.3559999999999999</v>
      </c>
      <c r="Q121" s="22">
        <f t="shared" si="25"/>
        <v>2.3685999999999998</v>
      </c>
      <c r="R121" s="22">
        <f t="shared" si="20"/>
        <v>2.3622999999999998</v>
      </c>
      <c r="S121" s="22">
        <f t="shared" si="21"/>
        <v>1.2654356038286081</v>
      </c>
      <c r="T121" s="22">
        <f t="shared" si="22"/>
        <v>433.15860719053256</v>
      </c>
      <c r="U121" s="22">
        <f t="shared" si="23"/>
        <v>181.92661502002366</v>
      </c>
      <c r="V121" s="25">
        <f t="shared" si="36"/>
        <v>1819.2661502002366</v>
      </c>
      <c r="W121" s="22">
        <f t="shared" si="34"/>
        <v>1779.2422948958313</v>
      </c>
      <c r="X121" s="26">
        <f t="shared" si="35"/>
        <v>0.36385323004004733</v>
      </c>
    </row>
    <row r="122" spans="1:24" s="22" customFormat="1" x14ac:dyDescent="0.25">
      <c r="A122" s="22">
        <v>20230901</v>
      </c>
      <c r="B122" s="22" t="s">
        <v>26</v>
      </c>
      <c r="C122" s="22">
        <v>2</v>
      </c>
      <c r="D122" s="22" t="s">
        <v>30</v>
      </c>
      <c r="E122" s="22" t="s">
        <v>27</v>
      </c>
      <c r="F122" s="22" t="s">
        <v>24</v>
      </c>
      <c r="G122" s="23">
        <v>10</v>
      </c>
      <c r="J122" s="23">
        <v>0.25</v>
      </c>
      <c r="K122" s="23">
        <v>0.11</v>
      </c>
      <c r="L122" s="27">
        <v>0.62</v>
      </c>
      <c r="M122" s="27">
        <v>0.63800000000000001</v>
      </c>
      <c r="N122" s="27">
        <v>3.0073999999999996</v>
      </c>
      <c r="O122" s="27">
        <v>3.0872000000000002</v>
      </c>
      <c r="P122" s="22">
        <f t="shared" si="24"/>
        <v>2.3873999999999995</v>
      </c>
      <c r="Q122" s="22">
        <f t="shared" si="25"/>
        <v>2.4492000000000003</v>
      </c>
      <c r="R122" s="22">
        <f t="shared" si="20"/>
        <v>2.4182999999999999</v>
      </c>
      <c r="S122" s="22">
        <f t="shared" si="21"/>
        <v>1.2954336539553499</v>
      </c>
      <c r="T122" s="22">
        <f t="shared" si="22"/>
        <v>443.42693974891631</v>
      </c>
      <c r="U122" s="22">
        <f t="shared" si="23"/>
        <v>186.23931469454484</v>
      </c>
      <c r="V122" s="25">
        <f t="shared" si="36"/>
        <v>1862.3931469454485</v>
      </c>
      <c r="W122" s="22">
        <f t="shared" si="34"/>
        <v>1821.4204977126485</v>
      </c>
      <c r="X122" s="26">
        <f t="shared" si="35"/>
        <v>0.37247862938908971</v>
      </c>
    </row>
    <row r="123" spans="1:24" s="22" customFormat="1" x14ac:dyDescent="0.25">
      <c r="A123" s="22">
        <v>20230901</v>
      </c>
      <c r="B123" s="22" t="s">
        <v>26</v>
      </c>
      <c r="C123" s="22">
        <v>3</v>
      </c>
      <c r="D123" s="22" t="s">
        <v>30</v>
      </c>
      <c r="E123" s="22" t="s">
        <v>27</v>
      </c>
      <c r="F123" s="22" t="s">
        <v>24</v>
      </c>
      <c r="G123" s="23">
        <v>10</v>
      </c>
      <c r="J123" s="23">
        <v>0.25</v>
      </c>
      <c r="K123" s="23">
        <v>0.11</v>
      </c>
      <c r="L123" s="27">
        <v>0.41199999999999998</v>
      </c>
      <c r="M123" s="27">
        <v>0.42199999999999999</v>
      </c>
      <c r="N123" s="27">
        <v>2.1280000000000001</v>
      </c>
      <c r="O123" s="27">
        <v>2.2069999999999999</v>
      </c>
      <c r="P123" s="22">
        <f t="shared" si="24"/>
        <v>1.7160000000000002</v>
      </c>
      <c r="Q123" s="22">
        <f t="shared" si="25"/>
        <v>1.7849999999999999</v>
      </c>
      <c r="R123" s="22">
        <f t="shared" si="20"/>
        <v>1.7505000000000002</v>
      </c>
      <c r="S123" s="22">
        <f t="shared" si="21"/>
        <v>0.93770690619395458</v>
      </c>
      <c r="T123" s="22">
        <f t="shared" si="22"/>
        <v>320.97707399019066</v>
      </c>
      <c r="U123" s="22">
        <f t="shared" si="23"/>
        <v>134.81037107588008</v>
      </c>
      <c r="V123" s="25">
        <f t="shared" si="36"/>
        <v>1348.1037107588008</v>
      </c>
      <c r="W123" s="22">
        <f t="shared" si="34"/>
        <v>1318.445429122107</v>
      </c>
      <c r="X123" s="26">
        <f t="shared" si="35"/>
        <v>0.26962074215176018</v>
      </c>
    </row>
    <row r="124" spans="1:24" s="22" customFormat="1" x14ac:dyDescent="0.25">
      <c r="A124" s="22">
        <v>20230901</v>
      </c>
      <c r="B124" s="22" t="s">
        <v>26</v>
      </c>
      <c r="C124" s="22">
        <v>4</v>
      </c>
      <c r="D124" s="22" t="s">
        <v>30</v>
      </c>
      <c r="E124" s="22" t="s">
        <v>27</v>
      </c>
      <c r="F124" s="22" t="s">
        <v>24</v>
      </c>
      <c r="G124" s="23">
        <v>10</v>
      </c>
      <c r="J124" s="23">
        <v>0.25</v>
      </c>
      <c r="K124" s="23">
        <v>0.11</v>
      </c>
      <c r="L124" s="27">
        <v>0.76700000000000002</v>
      </c>
      <c r="M124" s="27">
        <v>0.79600000000000004</v>
      </c>
      <c r="N124" s="27">
        <v>3.3166000000000002</v>
      </c>
      <c r="O124" s="27">
        <v>3.4173999999999998</v>
      </c>
      <c r="P124" s="22">
        <f t="shared" si="24"/>
        <v>2.5496000000000003</v>
      </c>
      <c r="Q124" s="22">
        <f t="shared" si="25"/>
        <v>2.6213999999999995</v>
      </c>
      <c r="R124" s="22">
        <f t="shared" si="20"/>
        <v>2.5854999999999997</v>
      </c>
      <c r="S124" s="22">
        <f t="shared" si="21"/>
        <v>1.3849992607623358</v>
      </c>
      <c r="T124" s="22">
        <f t="shared" si="22"/>
        <v>474.08524695894755</v>
      </c>
      <c r="U124" s="22">
        <f t="shared" si="23"/>
        <v>199.11580372275796</v>
      </c>
      <c r="V124" s="25">
        <f t="shared" si="36"/>
        <v>1991.1580372275796</v>
      </c>
      <c r="W124" s="22">
        <f t="shared" si="34"/>
        <v>1947.3525604085728</v>
      </c>
      <c r="X124" s="26">
        <f t="shared" si="35"/>
        <v>0.39823160744551594</v>
      </c>
    </row>
    <row r="125" spans="1:24" s="22" customFormat="1" x14ac:dyDescent="0.25">
      <c r="A125" s="22">
        <v>20230901</v>
      </c>
      <c r="B125" s="22" t="s">
        <v>26</v>
      </c>
      <c r="C125" s="22">
        <v>5</v>
      </c>
      <c r="D125" s="22" t="s">
        <v>30</v>
      </c>
      <c r="E125" s="22" t="s">
        <v>27</v>
      </c>
      <c r="F125" s="22" t="s">
        <v>24</v>
      </c>
      <c r="G125" s="23">
        <v>10</v>
      </c>
      <c r="J125" s="23">
        <v>0.25</v>
      </c>
      <c r="K125" s="23">
        <v>0.11</v>
      </c>
      <c r="L125" s="27">
        <v>0.443</v>
      </c>
      <c r="M125" s="27">
        <v>0.442</v>
      </c>
      <c r="N125" s="27">
        <v>2.2572000000000001</v>
      </c>
      <c r="O125" s="27">
        <v>2.2732000000000001</v>
      </c>
      <c r="P125" s="22">
        <f t="shared" si="24"/>
        <v>1.8142</v>
      </c>
      <c r="Q125" s="22">
        <f t="shared" si="25"/>
        <v>1.8312000000000002</v>
      </c>
      <c r="R125" s="22">
        <f t="shared" si="20"/>
        <v>1.8227000000000002</v>
      </c>
      <c r="S125" s="22">
        <f t="shared" si="21"/>
        <v>0.97638296367878952</v>
      </c>
      <c r="T125" s="22">
        <f t="shared" si="22"/>
        <v>334.21588846724967</v>
      </c>
      <c r="U125" s="22">
        <f t="shared" si="23"/>
        <v>140.37067315624486</v>
      </c>
      <c r="V125" s="25">
        <f t="shared" si="36"/>
        <v>1403.7067315624486</v>
      </c>
      <c r="W125" s="22">
        <f t="shared" si="34"/>
        <v>1372.8251834680746</v>
      </c>
      <c r="X125" s="26">
        <f t="shared" si="35"/>
        <v>0.2807413463124897</v>
      </c>
    </row>
    <row r="126" spans="1:24" s="22" customFormat="1" x14ac:dyDescent="0.25">
      <c r="A126" s="22">
        <v>20230901</v>
      </c>
      <c r="B126" s="22" t="s">
        <v>26</v>
      </c>
      <c r="C126" s="22">
        <v>6</v>
      </c>
      <c r="D126" s="22" t="s">
        <v>30</v>
      </c>
      <c r="E126" s="22" t="s">
        <v>27</v>
      </c>
      <c r="F126" s="22" t="s">
        <v>24</v>
      </c>
      <c r="G126" s="23">
        <v>10</v>
      </c>
      <c r="J126" s="23">
        <v>0.25</v>
      </c>
      <c r="K126" s="23">
        <v>0.11</v>
      </c>
      <c r="L126" s="27">
        <v>0.52800000000000002</v>
      </c>
      <c r="M126" s="27">
        <v>0.52</v>
      </c>
      <c r="N126" s="27">
        <v>2.3424000000000005</v>
      </c>
      <c r="O126" s="27">
        <v>2.2699999999999996</v>
      </c>
      <c r="P126" s="22">
        <f t="shared" si="24"/>
        <v>1.8144000000000005</v>
      </c>
      <c r="Q126" s="22">
        <f t="shared" si="25"/>
        <v>1.7499999999999996</v>
      </c>
      <c r="R126" s="22">
        <f t="shared" si="20"/>
        <v>1.7822</v>
      </c>
      <c r="S126" s="22">
        <f t="shared" si="21"/>
        <v>0.95468794528355649</v>
      </c>
      <c r="T126" s="22">
        <f t="shared" si="22"/>
        <v>326.78968367056137</v>
      </c>
      <c r="U126" s="22">
        <f t="shared" si="23"/>
        <v>137.25166714163578</v>
      </c>
      <c r="V126" s="25">
        <f t="shared" si="36"/>
        <v>1372.5166714163579</v>
      </c>
      <c r="W126" s="22">
        <f t="shared" si="34"/>
        <v>1342.3213046451979</v>
      </c>
      <c r="X126" s="26">
        <f t="shared" si="35"/>
        <v>0.27450333428327156</v>
      </c>
    </row>
    <row r="127" spans="1:24" x14ac:dyDescent="0.25">
      <c r="A127" s="3">
        <v>20230829</v>
      </c>
      <c r="B127" s="3" t="s">
        <v>26</v>
      </c>
      <c r="C127" s="3">
        <v>1</v>
      </c>
      <c r="D127" s="3" t="s">
        <v>29</v>
      </c>
      <c r="E127" s="3" t="s">
        <v>27</v>
      </c>
      <c r="F127" s="3" t="s">
        <v>25</v>
      </c>
      <c r="G127" s="5">
        <v>5</v>
      </c>
      <c r="H127" s="5">
        <v>10</v>
      </c>
      <c r="I127" s="5">
        <v>0.5</v>
      </c>
      <c r="J127" s="5">
        <v>0.25</v>
      </c>
      <c r="K127" s="5">
        <v>1.4999999999999999E-2</v>
      </c>
      <c r="L127" s="10">
        <v>0.27100000000000002</v>
      </c>
      <c r="M127" s="10">
        <v>0.27100000000000002</v>
      </c>
      <c r="N127" s="13">
        <v>0.27300000000000008</v>
      </c>
      <c r="O127" s="13">
        <v>0.27566666666666673</v>
      </c>
      <c r="P127" s="3">
        <f t="shared" si="24"/>
        <v>2.0000000000000573E-3</v>
      </c>
      <c r="Q127" s="3">
        <f t="shared" si="25"/>
        <v>4.6666666666667078E-3</v>
      </c>
      <c r="R127" s="3">
        <f t="shared" si="20"/>
        <v>3.3333333333333826E-3</v>
      </c>
      <c r="S127" s="3">
        <f t="shared" si="21"/>
        <v>1.3094386960085884E-2</v>
      </c>
      <c r="T127" s="3">
        <f t="shared" si="22"/>
        <v>4.4822086564373977</v>
      </c>
      <c r="U127" s="3">
        <f t="shared" si="23"/>
        <v>1.8825276357037071</v>
      </c>
      <c r="V127" s="14">
        <f t="shared" si="26"/>
        <v>0.94126381785185353</v>
      </c>
      <c r="W127" s="3">
        <f t="shared" si="27"/>
        <v>0.88478798878074227</v>
      </c>
      <c r="X127" s="21"/>
    </row>
    <row r="128" spans="1:24" x14ac:dyDescent="0.25">
      <c r="A128" s="3">
        <v>20230829</v>
      </c>
      <c r="B128" s="3" t="s">
        <v>26</v>
      </c>
      <c r="C128" s="3">
        <v>2</v>
      </c>
      <c r="D128" s="3" t="s">
        <v>29</v>
      </c>
      <c r="E128" s="3" t="s">
        <v>27</v>
      </c>
      <c r="F128" s="3" t="s">
        <v>25</v>
      </c>
      <c r="G128" s="5">
        <v>5</v>
      </c>
      <c r="H128" s="5">
        <v>10</v>
      </c>
      <c r="I128" s="5">
        <v>0.5</v>
      </c>
      <c r="J128" s="5">
        <v>0.25</v>
      </c>
      <c r="K128" s="5">
        <v>1.4999999999999999E-2</v>
      </c>
      <c r="L128" s="10">
        <v>0.28299999999999997</v>
      </c>
      <c r="M128" s="10">
        <v>0.28799999999999998</v>
      </c>
      <c r="N128" s="13">
        <v>0.28899999999999998</v>
      </c>
      <c r="O128" s="13">
        <v>0.29199999999999998</v>
      </c>
      <c r="P128" s="3">
        <f t="shared" si="24"/>
        <v>6.0000000000000053E-3</v>
      </c>
      <c r="Q128" s="3">
        <f t="shared" si="25"/>
        <v>4.0000000000000036E-3</v>
      </c>
      <c r="R128" s="3">
        <f t="shared" si="20"/>
        <v>5.0000000000000044E-3</v>
      </c>
      <c r="S128" s="3">
        <f t="shared" si="21"/>
        <v>1.964158044012855E-2</v>
      </c>
      <c r="T128" s="3">
        <f t="shared" si="22"/>
        <v>6.7233129846560029</v>
      </c>
      <c r="U128" s="3">
        <f t="shared" si="23"/>
        <v>2.8237914535555211</v>
      </c>
      <c r="V128" s="14">
        <f t="shared" si="26"/>
        <v>1.4118957267777605</v>
      </c>
      <c r="W128" s="3">
        <f t="shared" si="27"/>
        <v>1.3271819831710949</v>
      </c>
      <c r="X128" s="21"/>
    </row>
    <row r="129" spans="1:24" x14ac:dyDescent="0.25">
      <c r="A129" s="3">
        <v>20230829</v>
      </c>
      <c r="B129" s="3" t="s">
        <v>26</v>
      </c>
      <c r="C129" s="3">
        <v>3</v>
      </c>
      <c r="D129" s="3" t="s">
        <v>29</v>
      </c>
      <c r="E129" s="3" t="s">
        <v>27</v>
      </c>
      <c r="F129" s="3" t="s">
        <v>25</v>
      </c>
      <c r="G129" s="5">
        <v>5</v>
      </c>
      <c r="H129" s="5">
        <v>10</v>
      </c>
      <c r="I129" s="5">
        <v>0.5</v>
      </c>
      <c r="J129" s="5">
        <v>0.25</v>
      </c>
      <c r="K129" s="5">
        <v>1.4999999999999999E-2</v>
      </c>
      <c r="L129" s="10">
        <v>0.27600000000000002</v>
      </c>
      <c r="M129" s="10">
        <v>0.28100000000000003</v>
      </c>
      <c r="N129" s="13">
        <v>0.29016666666666668</v>
      </c>
      <c r="O129" s="13">
        <v>0.29650000000000004</v>
      </c>
      <c r="P129" s="3">
        <f t="shared" si="24"/>
        <v>1.4166666666666661E-2</v>
      </c>
      <c r="Q129" s="3">
        <f t="shared" si="25"/>
        <v>1.5500000000000014E-2</v>
      </c>
      <c r="R129" s="3">
        <f t="shared" si="20"/>
        <v>1.4833333333333337E-2</v>
      </c>
      <c r="S129" s="3">
        <f t="shared" si="21"/>
        <v>5.8270021972381333E-2</v>
      </c>
      <c r="T129" s="3">
        <f t="shared" si="22"/>
        <v>19.945828521146129</v>
      </c>
      <c r="U129" s="3">
        <f t="shared" si="23"/>
        <v>8.3772479788813747</v>
      </c>
      <c r="V129" s="14">
        <f t="shared" si="26"/>
        <v>4.1886239894406874</v>
      </c>
      <c r="W129" s="3">
        <f t="shared" si="27"/>
        <v>3.9373065500742457</v>
      </c>
      <c r="X129" s="21"/>
    </row>
    <row r="130" spans="1:24" x14ac:dyDescent="0.25">
      <c r="A130" s="3">
        <v>20230829</v>
      </c>
      <c r="B130" s="3" t="s">
        <v>26</v>
      </c>
      <c r="C130" s="3">
        <v>4</v>
      </c>
      <c r="D130" s="3" t="s">
        <v>29</v>
      </c>
      <c r="E130" s="3" t="s">
        <v>27</v>
      </c>
      <c r="F130" s="3" t="s">
        <v>25</v>
      </c>
      <c r="G130" s="5">
        <v>5</v>
      </c>
      <c r="H130" s="5">
        <v>10</v>
      </c>
      <c r="I130" s="5">
        <v>0.5</v>
      </c>
      <c r="J130" s="5">
        <v>0.25</v>
      </c>
      <c r="K130" s="5">
        <v>1.4999999999999999E-2</v>
      </c>
      <c r="L130" s="10">
        <v>0.28699999999999998</v>
      </c>
      <c r="M130" s="10">
        <v>0.28599999999999998</v>
      </c>
      <c r="N130" s="13">
        <v>0.28199999999999997</v>
      </c>
      <c r="O130" s="13">
        <v>0.28000000000000003</v>
      </c>
      <c r="P130" s="3">
        <f t="shared" si="24"/>
        <v>-5.0000000000000044E-3</v>
      </c>
      <c r="Q130" s="3">
        <f t="shared" si="25"/>
        <v>-5.9999999999999498E-3</v>
      </c>
      <c r="R130" s="3">
        <f t="shared" si="20"/>
        <v>-5.4999999999999771E-3</v>
      </c>
      <c r="S130" s="3">
        <f t="shared" si="21"/>
        <v>-2.1605738484141299E-2</v>
      </c>
      <c r="T130" s="3">
        <f t="shared" si="22"/>
        <v>-7.395644283121567</v>
      </c>
      <c r="U130" s="3">
        <f t="shared" si="23"/>
        <v>-3.1061705989110582</v>
      </c>
      <c r="V130" s="14">
        <f t="shared" si="26"/>
        <v>-1.5530852994555291</v>
      </c>
      <c r="W130" s="3">
        <f t="shared" si="27"/>
        <v>-1.4599001814881973</v>
      </c>
      <c r="X130" s="21"/>
    </row>
    <row r="131" spans="1:24" x14ac:dyDescent="0.25">
      <c r="A131" s="3">
        <v>20230829</v>
      </c>
      <c r="B131" s="3" t="s">
        <v>26</v>
      </c>
      <c r="C131" s="3">
        <v>5</v>
      </c>
      <c r="D131" s="3" t="s">
        <v>29</v>
      </c>
      <c r="E131" s="3" t="s">
        <v>27</v>
      </c>
      <c r="F131" s="3" t="s">
        <v>25</v>
      </c>
      <c r="G131" s="5">
        <v>5</v>
      </c>
      <c r="H131" s="5">
        <v>10</v>
      </c>
      <c r="I131" s="5">
        <v>0.5</v>
      </c>
      <c r="J131" s="5">
        <v>0.25</v>
      </c>
      <c r="K131" s="5">
        <v>1.4999999999999999E-2</v>
      </c>
      <c r="L131" s="10">
        <v>0.28100000000000003</v>
      </c>
      <c r="M131" s="10">
        <v>0.27700000000000002</v>
      </c>
      <c r="N131" s="13">
        <v>0.30499999999999999</v>
      </c>
      <c r="O131" s="13">
        <v>0.30199999999999999</v>
      </c>
      <c r="P131" s="3">
        <f t="shared" si="24"/>
        <v>2.3999999999999966E-2</v>
      </c>
      <c r="Q131" s="3">
        <f t="shared" si="25"/>
        <v>2.4999999999999967E-2</v>
      </c>
      <c r="R131" s="3">
        <f t="shared" si="20"/>
        <v>2.4499999999999966E-2</v>
      </c>
      <c r="S131" s="3">
        <f t="shared" si="21"/>
        <v>9.6243744156629688E-2</v>
      </c>
      <c r="T131" s="3">
        <f t="shared" si="22"/>
        <v>32.944233624814345</v>
      </c>
      <c r="U131" s="3">
        <f t="shared" si="23"/>
        <v>13.836578122422024</v>
      </c>
      <c r="V131" s="14">
        <f t="shared" si="26"/>
        <v>6.9182890612110119</v>
      </c>
      <c r="W131" s="3">
        <f t="shared" si="27"/>
        <v>6.5031917175383507</v>
      </c>
      <c r="X131" s="21"/>
    </row>
    <row r="132" spans="1:24" x14ac:dyDescent="0.25">
      <c r="A132" s="3">
        <v>20230829</v>
      </c>
      <c r="B132" s="3" t="s">
        <v>26</v>
      </c>
      <c r="C132" s="3">
        <v>6</v>
      </c>
      <c r="D132" s="3" t="s">
        <v>29</v>
      </c>
      <c r="E132" s="3" t="s">
        <v>27</v>
      </c>
      <c r="F132" s="3" t="s">
        <v>25</v>
      </c>
      <c r="G132" s="5">
        <v>5</v>
      </c>
      <c r="H132" s="5">
        <v>10</v>
      </c>
      <c r="I132" s="5">
        <v>0.5</v>
      </c>
      <c r="J132" s="5">
        <v>0.25</v>
      </c>
      <c r="K132" s="5">
        <v>1.4999999999999999E-2</v>
      </c>
      <c r="L132" s="10">
        <v>0.28299999999999997</v>
      </c>
      <c r="M132" s="10">
        <v>0.28999999999999998</v>
      </c>
      <c r="N132" s="13">
        <v>0.30283333333333334</v>
      </c>
      <c r="O132" s="13">
        <v>0.31266666666666665</v>
      </c>
      <c r="P132" s="3">
        <f t="shared" si="24"/>
        <v>1.9833333333333369E-2</v>
      </c>
      <c r="Q132" s="3">
        <f t="shared" si="25"/>
        <v>2.2666666666666668E-2</v>
      </c>
      <c r="R132" s="3">
        <f t="shared" si="20"/>
        <v>2.1250000000000019E-2</v>
      </c>
      <c r="S132" s="3">
        <f t="shared" si="21"/>
        <v>8.3476716870546336E-2</v>
      </c>
      <c r="T132" s="3">
        <f t="shared" si="22"/>
        <v>28.574080184788013</v>
      </c>
      <c r="U132" s="3">
        <f t="shared" si="23"/>
        <v>12.001113677610965</v>
      </c>
      <c r="V132" s="14">
        <f t="shared" si="26"/>
        <v>6.0005568388054824</v>
      </c>
      <c r="W132" s="3">
        <f t="shared" si="27"/>
        <v>5.6405234284771533</v>
      </c>
      <c r="X132" s="21"/>
    </row>
    <row r="133" spans="1:24" s="22" customFormat="1" x14ac:dyDescent="0.25">
      <c r="A133" s="22">
        <v>20230829</v>
      </c>
      <c r="B133" s="22" t="s">
        <v>26</v>
      </c>
      <c r="C133" s="22">
        <v>1</v>
      </c>
      <c r="D133" s="22" t="s">
        <v>30</v>
      </c>
      <c r="E133" s="22" t="s">
        <v>27</v>
      </c>
      <c r="F133" s="22" t="s">
        <v>25</v>
      </c>
      <c r="G133" s="23">
        <v>10</v>
      </c>
      <c r="J133" s="23">
        <v>0.25</v>
      </c>
      <c r="K133" s="23">
        <v>0.11</v>
      </c>
      <c r="L133" s="27">
        <v>0.71399999999999997</v>
      </c>
      <c r="M133" s="27">
        <v>0.73499999999999999</v>
      </c>
      <c r="N133" s="27">
        <v>2.6816000000000004</v>
      </c>
      <c r="O133" s="27">
        <v>2.7364000000000006</v>
      </c>
      <c r="P133" s="22">
        <f t="shared" si="24"/>
        <v>1.9676000000000005</v>
      </c>
      <c r="Q133" s="22">
        <f t="shared" si="25"/>
        <v>2.0014000000000007</v>
      </c>
      <c r="R133" s="22">
        <f t="shared" si="20"/>
        <v>1.9845000000000006</v>
      </c>
      <c r="S133" s="22">
        <f t="shared" si="21"/>
        <v>1.0630559013664114</v>
      </c>
      <c r="T133" s="22">
        <f t="shared" si="22"/>
        <v>363.88403503772264</v>
      </c>
      <c r="U133" s="22">
        <f t="shared" si="23"/>
        <v>152.83129471584351</v>
      </c>
      <c r="V133" s="25">
        <f>U133*G133</f>
        <v>1528.3129471584352</v>
      </c>
      <c r="W133" s="22">
        <f t="shared" ref="W133:W154" si="37">U133*9.78</f>
        <v>1494.6900623209494</v>
      </c>
      <c r="X133" s="26">
        <f t="shared" ref="X133:X154" si="38">U133*2/1000</f>
        <v>0.305662589431687</v>
      </c>
    </row>
    <row r="134" spans="1:24" s="22" customFormat="1" x14ac:dyDescent="0.25">
      <c r="A134" s="22">
        <v>20230829</v>
      </c>
      <c r="B134" s="22" t="s">
        <v>26</v>
      </c>
      <c r="C134" s="22">
        <v>2</v>
      </c>
      <c r="D134" s="22" t="s">
        <v>30</v>
      </c>
      <c r="E134" s="22" t="s">
        <v>27</v>
      </c>
      <c r="F134" s="22" t="s">
        <v>25</v>
      </c>
      <c r="G134" s="23">
        <v>10</v>
      </c>
      <c r="J134" s="23">
        <v>0.25</v>
      </c>
      <c r="K134" s="23">
        <v>0.11</v>
      </c>
      <c r="L134" s="27">
        <v>0.51900000000000002</v>
      </c>
      <c r="M134" s="27">
        <v>0.50900000000000001</v>
      </c>
      <c r="N134" s="27">
        <v>1.6506000000000001</v>
      </c>
      <c r="O134" s="27">
        <v>1.6173999999999999</v>
      </c>
      <c r="P134" s="22">
        <f t="shared" si="24"/>
        <v>1.1316000000000002</v>
      </c>
      <c r="Q134" s="22">
        <f t="shared" si="25"/>
        <v>1.1084000000000001</v>
      </c>
      <c r="R134" s="22">
        <f t="shared" si="20"/>
        <v>1.1200000000000001</v>
      </c>
      <c r="S134" s="22">
        <f t="shared" si="21"/>
        <v>0.5999610025348352</v>
      </c>
      <c r="T134" s="22">
        <f t="shared" si="22"/>
        <v>205.36665116767409</v>
      </c>
      <c r="U134" s="22">
        <f t="shared" si="23"/>
        <v>86.253993490423113</v>
      </c>
      <c r="V134" s="25">
        <f t="shared" ref="V134:V144" si="39">U134*G134</f>
        <v>862.53993490423113</v>
      </c>
      <c r="W134" s="22">
        <f t="shared" si="37"/>
        <v>843.56405633633801</v>
      </c>
      <c r="X134" s="26">
        <f t="shared" si="38"/>
        <v>0.17250798698084624</v>
      </c>
    </row>
    <row r="135" spans="1:24" s="22" customFormat="1" x14ac:dyDescent="0.25">
      <c r="A135" s="22">
        <v>20230829</v>
      </c>
      <c r="B135" s="22" t="s">
        <v>26</v>
      </c>
      <c r="C135" s="22">
        <v>3</v>
      </c>
      <c r="D135" s="22" t="s">
        <v>30</v>
      </c>
      <c r="E135" s="22" t="s">
        <v>27</v>
      </c>
      <c r="F135" s="22" t="s">
        <v>25</v>
      </c>
      <c r="G135" s="23">
        <v>10</v>
      </c>
      <c r="J135" s="23">
        <v>0.25</v>
      </c>
      <c r="K135" s="23">
        <v>0.11</v>
      </c>
      <c r="L135" s="27">
        <v>0.434</v>
      </c>
      <c r="M135" s="27">
        <v>0.42699999999999999</v>
      </c>
      <c r="N135" s="27">
        <v>1.7609999999999999</v>
      </c>
      <c r="O135" s="27">
        <v>1.7326000000000001</v>
      </c>
      <c r="P135" s="22">
        <f t="shared" si="24"/>
        <v>1.327</v>
      </c>
      <c r="Q135" s="22">
        <f t="shared" si="25"/>
        <v>1.3056000000000001</v>
      </c>
      <c r="R135" s="22">
        <f t="shared" ref="R135:R144" si="40">AVERAGE(P135:Q135)</f>
        <v>1.3163</v>
      </c>
      <c r="S135" s="22">
        <f t="shared" ref="S135:S144" si="41">R135/4.2427*J135/K135</f>
        <v>0.7051148818183961</v>
      </c>
      <c r="T135" s="22">
        <f t="shared" ref="T135:T144" si="42">S135*342.3</f>
        <v>241.36082404643699</v>
      </c>
      <c r="U135" s="22">
        <f t="shared" ref="U135:U144" si="43">T135*0.42</f>
        <v>101.37154609950353</v>
      </c>
      <c r="V135" s="25">
        <f t="shared" si="39"/>
        <v>1013.7154609950353</v>
      </c>
      <c r="W135" s="22">
        <f t="shared" si="37"/>
        <v>991.41372085314447</v>
      </c>
      <c r="X135" s="26">
        <f t="shared" si="38"/>
        <v>0.20274309219900707</v>
      </c>
    </row>
    <row r="136" spans="1:24" s="22" customFormat="1" x14ac:dyDescent="0.25">
      <c r="A136" s="22">
        <v>20230829</v>
      </c>
      <c r="B136" s="22" t="s">
        <v>26</v>
      </c>
      <c r="C136" s="22">
        <v>4</v>
      </c>
      <c r="D136" s="22" t="s">
        <v>30</v>
      </c>
      <c r="E136" s="22" t="s">
        <v>27</v>
      </c>
      <c r="F136" s="22" t="s">
        <v>25</v>
      </c>
      <c r="G136" s="23">
        <v>10</v>
      </c>
      <c r="J136" s="23">
        <v>0.25</v>
      </c>
      <c r="K136" s="23">
        <v>0.11</v>
      </c>
      <c r="L136" s="27">
        <v>0.46500000000000002</v>
      </c>
      <c r="M136" s="27">
        <v>0.46400000000000002</v>
      </c>
      <c r="N136" s="27">
        <v>1.7733999999999999</v>
      </c>
      <c r="O136" s="27">
        <v>1.7924</v>
      </c>
      <c r="P136" s="22">
        <f t="shared" ref="P136:P144" si="44">N136-L136</f>
        <v>1.3083999999999998</v>
      </c>
      <c r="Q136" s="22">
        <f t="shared" ref="Q136:Q144" si="45">O136-M136</f>
        <v>1.3284</v>
      </c>
      <c r="R136" s="22">
        <f t="shared" si="40"/>
        <v>1.3184</v>
      </c>
      <c r="S136" s="22">
        <f t="shared" si="41"/>
        <v>0.70623980869814884</v>
      </c>
      <c r="T136" s="22">
        <f t="shared" si="42"/>
        <v>241.74588651737636</v>
      </c>
      <c r="U136" s="22">
        <f t="shared" si="43"/>
        <v>101.53327233729807</v>
      </c>
      <c r="V136" s="25">
        <f t="shared" si="39"/>
        <v>1015.3327233729807</v>
      </c>
      <c r="W136" s="22">
        <f t="shared" si="37"/>
        <v>992.99540345877506</v>
      </c>
      <c r="X136" s="26">
        <f t="shared" si="38"/>
        <v>0.20306654467459614</v>
      </c>
    </row>
    <row r="137" spans="1:24" s="22" customFormat="1" x14ac:dyDescent="0.25">
      <c r="A137" s="22">
        <v>20230829</v>
      </c>
      <c r="B137" s="22" t="s">
        <v>26</v>
      </c>
      <c r="C137" s="22">
        <v>5</v>
      </c>
      <c r="D137" s="22" t="s">
        <v>30</v>
      </c>
      <c r="E137" s="22" t="s">
        <v>27</v>
      </c>
      <c r="F137" s="22" t="s">
        <v>25</v>
      </c>
      <c r="G137" s="23">
        <v>10</v>
      </c>
      <c r="J137" s="23">
        <v>0.25</v>
      </c>
      <c r="K137" s="23">
        <v>0.11</v>
      </c>
      <c r="L137" s="27">
        <v>0.38100000000000001</v>
      </c>
      <c r="M137" s="27">
        <v>0.37</v>
      </c>
      <c r="N137" s="27">
        <v>1.52</v>
      </c>
      <c r="O137" s="27">
        <v>1.4664000000000001</v>
      </c>
      <c r="P137" s="22">
        <f t="shared" si="44"/>
        <v>1.139</v>
      </c>
      <c r="Q137" s="22">
        <f t="shared" si="45"/>
        <v>1.0964</v>
      </c>
      <c r="R137" s="22">
        <f t="shared" si="40"/>
        <v>1.1177000000000001</v>
      </c>
      <c r="S137" s="22">
        <f t="shared" si="41"/>
        <v>0.59872893976177266</v>
      </c>
      <c r="T137" s="22">
        <f t="shared" si="42"/>
        <v>204.94491608045479</v>
      </c>
      <c r="U137" s="22">
        <f t="shared" si="43"/>
        <v>86.076864753791014</v>
      </c>
      <c r="V137" s="25">
        <f t="shared" si="39"/>
        <v>860.76864753791017</v>
      </c>
      <c r="W137" s="22">
        <f t="shared" si="37"/>
        <v>841.83173729207601</v>
      </c>
      <c r="X137" s="26">
        <f t="shared" si="38"/>
        <v>0.17215372950758204</v>
      </c>
    </row>
    <row r="138" spans="1:24" s="22" customFormat="1" x14ac:dyDescent="0.25">
      <c r="A138" s="22">
        <v>20230829</v>
      </c>
      <c r="B138" s="22" t="s">
        <v>26</v>
      </c>
      <c r="C138" s="22">
        <v>6</v>
      </c>
      <c r="D138" s="22" t="s">
        <v>30</v>
      </c>
      <c r="E138" s="22" t="s">
        <v>27</v>
      </c>
      <c r="F138" s="22" t="s">
        <v>25</v>
      </c>
      <c r="G138" s="23">
        <v>10</v>
      </c>
      <c r="J138" s="23">
        <v>0.25</v>
      </c>
      <c r="K138" s="23">
        <v>0.11</v>
      </c>
      <c r="L138" s="27">
        <v>0.377</v>
      </c>
      <c r="M138" s="27">
        <v>0.39</v>
      </c>
      <c r="N138" s="27">
        <v>1.2444</v>
      </c>
      <c r="O138" s="27">
        <v>1.2582</v>
      </c>
      <c r="P138" s="22">
        <f t="shared" si="44"/>
        <v>0.86739999999999995</v>
      </c>
      <c r="Q138" s="22">
        <f t="shared" si="45"/>
        <v>0.86819999999999997</v>
      </c>
      <c r="R138" s="22">
        <f t="shared" si="40"/>
        <v>0.8677999999999999</v>
      </c>
      <c r="S138" s="22">
        <f t="shared" si="41"/>
        <v>0.46486264107118747</v>
      </c>
      <c r="T138" s="22">
        <f t="shared" si="42"/>
        <v>159.12248203866747</v>
      </c>
      <c r="U138" s="22">
        <f t="shared" si="43"/>
        <v>66.831442456240339</v>
      </c>
      <c r="V138" s="25">
        <f t="shared" si="39"/>
        <v>668.31442456240336</v>
      </c>
      <c r="W138" s="22">
        <f t="shared" si="37"/>
        <v>653.61150722203047</v>
      </c>
      <c r="X138" s="26">
        <f t="shared" si="38"/>
        <v>0.13366288491248068</v>
      </c>
    </row>
    <row r="139" spans="1:24" s="22" customFormat="1" x14ac:dyDescent="0.25">
      <c r="A139" s="22">
        <v>20230829</v>
      </c>
      <c r="B139" s="22" t="s">
        <v>26</v>
      </c>
      <c r="C139" s="22">
        <v>1</v>
      </c>
      <c r="D139" s="22" t="s">
        <v>31</v>
      </c>
      <c r="E139" s="22" t="s">
        <v>27</v>
      </c>
      <c r="F139" s="22" t="s">
        <v>25</v>
      </c>
      <c r="G139" s="23">
        <v>10</v>
      </c>
      <c r="J139" s="23">
        <v>0.25</v>
      </c>
      <c r="K139" s="23">
        <v>0.11</v>
      </c>
      <c r="L139" s="27">
        <v>0.72399999999999998</v>
      </c>
      <c r="M139" s="27">
        <v>0.747</v>
      </c>
      <c r="N139" s="27">
        <v>3.0463999999999998</v>
      </c>
      <c r="O139" s="27">
        <v>3.1345999999999998</v>
      </c>
      <c r="P139" s="22">
        <f t="shared" si="44"/>
        <v>2.3224</v>
      </c>
      <c r="Q139" s="22">
        <f t="shared" si="45"/>
        <v>2.3875999999999999</v>
      </c>
      <c r="R139" s="22">
        <f t="shared" si="40"/>
        <v>2.355</v>
      </c>
      <c r="S139" s="22">
        <f t="shared" si="41"/>
        <v>1.2615251437228008</v>
      </c>
      <c r="T139" s="22">
        <f t="shared" si="42"/>
        <v>431.82005669631474</v>
      </c>
      <c r="U139" s="22">
        <f t="shared" si="43"/>
        <v>181.36442381245217</v>
      </c>
      <c r="V139" s="25">
        <f t="shared" si="39"/>
        <v>1813.6442381245217</v>
      </c>
      <c r="W139" s="22">
        <f t="shared" si="37"/>
        <v>1773.7440648857821</v>
      </c>
      <c r="X139" s="26">
        <f t="shared" si="38"/>
        <v>0.36272884762490437</v>
      </c>
    </row>
    <row r="140" spans="1:24" s="22" customFormat="1" x14ac:dyDescent="0.25">
      <c r="A140" s="22">
        <v>20230829</v>
      </c>
      <c r="B140" s="22" t="s">
        <v>26</v>
      </c>
      <c r="C140" s="22">
        <v>2</v>
      </c>
      <c r="D140" s="22" t="s">
        <v>31</v>
      </c>
      <c r="E140" s="22" t="s">
        <v>27</v>
      </c>
      <c r="F140" s="22" t="s">
        <v>25</v>
      </c>
      <c r="G140" s="23">
        <v>10</v>
      </c>
      <c r="J140" s="23">
        <v>0.25</v>
      </c>
      <c r="K140" s="23">
        <v>0.11</v>
      </c>
      <c r="L140" s="27">
        <v>0.83199999999999996</v>
      </c>
      <c r="M140" s="27">
        <v>0.83799999999999997</v>
      </c>
      <c r="N140" s="27">
        <v>3.0704000000000002</v>
      </c>
      <c r="O140" s="27">
        <v>3.0758000000000001</v>
      </c>
      <c r="P140" s="22">
        <f t="shared" si="44"/>
        <v>2.2384000000000004</v>
      </c>
      <c r="Q140" s="22">
        <f t="shared" si="45"/>
        <v>2.2378</v>
      </c>
      <c r="R140" s="22">
        <f t="shared" si="40"/>
        <v>2.2381000000000002</v>
      </c>
      <c r="S140" s="22">
        <f t="shared" si="41"/>
        <v>1.1989042140832276</v>
      </c>
      <c r="T140" s="22">
        <f t="shared" si="42"/>
        <v>410.3849124806888</v>
      </c>
      <c r="U140" s="22">
        <f t="shared" si="43"/>
        <v>172.36166324188929</v>
      </c>
      <c r="V140" s="25">
        <f t="shared" si="39"/>
        <v>1723.616632418893</v>
      </c>
      <c r="W140" s="22">
        <f t="shared" si="37"/>
        <v>1685.6970665056772</v>
      </c>
      <c r="X140" s="26">
        <f t="shared" si="38"/>
        <v>0.34472332648377857</v>
      </c>
    </row>
    <row r="141" spans="1:24" s="22" customFormat="1" x14ac:dyDescent="0.25">
      <c r="A141" s="22">
        <v>20230829</v>
      </c>
      <c r="B141" s="22" t="s">
        <v>26</v>
      </c>
      <c r="C141" s="22">
        <v>3</v>
      </c>
      <c r="D141" s="22" t="s">
        <v>31</v>
      </c>
      <c r="E141" s="22" t="s">
        <v>27</v>
      </c>
      <c r="F141" s="22" t="s">
        <v>25</v>
      </c>
      <c r="G141" s="23">
        <v>10</v>
      </c>
      <c r="J141" s="23">
        <v>0.25</v>
      </c>
      <c r="K141" s="23">
        <v>0.11</v>
      </c>
      <c r="L141" s="27">
        <v>0.65600000000000003</v>
      </c>
      <c r="M141" s="27">
        <v>0.66100000000000003</v>
      </c>
      <c r="N141" s="27">
        <v>2.4346000000000005</v>
      </c>
      <c r="O141" s="27">
        <v>2.4462000000000002</v>
      </c>
      <c r="P141" s="22">
        <f t="shared" si="44"/>
        <v>1.7786000000000004</v>
      </c>
      <c r="Q141" s="22">
        <f t="shared" si="45"/>
        <v>1.7852000000000001</v>
      </c>
      <c r="R141" s="22">
        <f t="shared" si="40"/>
        <v>1.7819000000000003</v>
      </c>
      <c r="S141" s="22">
        <f t="shared" si="41"/>
        <v>0.95452724144359202</v>
      </c>
      <c r="T141" s="22">
        <f t="shared" si="42"/>
        <v>326.73467474614154</v>
      </c>
      <c r="U141" s="22">
        <f t="shared" si="43"/>
        <v>137.22856339337943</v>
      </c>
      <c r="V141" s="25">
        <f t="shared" si="39"/>
        <v>1372.2856339337943</v>
      </c>
      <c r="W141" s="22">
        <f t="shared" si="37"/>
        <v>1342.0953499872508</v>
      </c>
      <c r="X141" s="26">
        <f t="shared" si="38"/>
        <v>0.27445712678675888</v>
      </c>
    </row>
    <row r="142" spans="1:24" s="22" customFormat="1" x14ac:dyDescent="0.25">
      <c r="A142" s="22">
        <v>20230829</v>
      </c>
      <c r="B142" s="22" t="s">
        <v>26</v>
      </c>
      <c r="C142" s="22">
        <v>4</v>
      </c>
      <c r="D142" s="22" t="s">
        <v>31</v>
      </c>
      <c r="E142" s="22" t="s">
        <v>27</v>
      </c>
      <c r="F142" s="22" t="s">
        <v>25</v>
      </c>
      <c r="G142" s="23">
        <v>10</v>
      </c>
      <c r="J142" s="23">
        <v>0.25</v>
      </c>
      <c r="K142" s="23">
        <v>0.11</v>
      </c>
      <c r="L142" s="27">
        <v>0.69799999999999995</v>
      </c>
      <c r="M142" s="27">
        <v>0.71099999999999997</v>
      </c>
      <c r="N142" s="27">
        <v>2.5309999999999997</v>
      </c>
      <c r="O142" s="27">
        <v>2.5651999999999999</v>
      </c>
      <c r="P142" s="22">
        <f t="shared" si="44"/>
        <v>1.8329999999999997</v>
      </c>
      <c r="Q142" s="22">
        <f t="shared" si="45"/>
        <v>1.8542000000000001</v>
      </c>
      <c r="R142" s="22">
        <f t="shared" si="40"/>
        <v>1.8435999999999999</v>
      </c>
      <c r="S142" s="22">
        <f t="shared" si="41"/>
        <v>0.9875786645296627</v>
      </c>
      <c r="T142" s="22">
        <f t="shared" si="42"/>
        <v>338.04817686850356</v>
      </c>
      <c r="U142" s="22">
        <f t="shared" si="43"/>
        <v>141.98023428477148</v>
      </c>
      <c r="V142" s="25">
        <f t="shared" si="39"/>
        <v>1419.802342847715</v>
      </c>
      <c r="W142" s="22">
        <f t="shared" si="37"/>
        <v>1388.566691305065</v>
      </c>
      <c r="X142" s="26">
        <f t="shared" si="38"/>
        <v>0.28396046856954299</v>
      </c>
    </row>
    <row r="143" spans="1:24" s="22" customFormat="1" x14ac:dyDescent="0.25">
      <c r="A143" s="22">
        <v>20230829</v>
      </c>
      <c r="B143" s="22" t="s">
        <v>26</v>
      </c>
      <c r="C143" s="22">
        <v>5</v>
      </c>
      <c r="D143" s="22" t="s">
        <v>31</v>
      </c>
      <c r="E143" s="22" t="s">
        <v>27</v>
      </c>
      <c r="F143" s="22" t="s">
        <v>25</v>
      </c>
      <c r="G143" s="23">
        <v>10</v>
      </c>
      <c r="J143" s="23">
        <v>0.25</v>
      </c>
      <c r="K143" s="23">
        <v>0.11</v>
      </c>
      <c r="L143" s="27">
        <v>0.622</v>
      </c>
      <c r="M143" s="27">
        <v>0.629</v>
      </c>
      <c r="N143" s="27">
        <v>3.1581999999999999</v>
      </c>
      <c r="O143" s="27">
        <v>3.218</v>
      </c>
      <c r="P143" s="22">
        <f t="shared" si="44"/>
        <v>2.5362</v>
      </c>
      <c r="Q143" s="22">
        <f t="shared" si="45"/>
        <v>2.589</v>
      </c>
      <c r="R143" s="22">
        <f t="shared" si="40"/>
        <v>2.5625999999999998</v>
      </c>
      <c r="S143" s="22">
        <f t="shared" si="41"/>
        <v>1.3727322009783647</v>
      </c>
      <c r="T143" s="22">
        <f t="shared" si="42"/>
        <v>469.88623239489425</v>
      </c>
      <c r="U143" s="22">
        <f t="shared" si="43"/>
        <v>197.35221760585557</v>
      </c>
      <c r="V143" s="25">
        <f t="shared" si="39"/>
        <v>1973.5221760585557</v>
      </c>
      <c r="W143" s="22">
        <f t="shared" si="37"/>
        <v>1930.1046881852674</v>
      </c>
      <c r="X143" s="26">
        <f t="shared" si="38"/>
        <v>0.39470443521171117</v>
      </c>
    </row>
    <row r="144" spans="1:24" s="22" customFormat="1" x14ac:dyDescent="0.25">
      <c r="A144" s="22">
        <v>20230829</v>
      </c>
      <c r="B144" s="22" t="s">
        <v>26</v>
      </c>
      <c r="C144" s="22">
        <v>6</v>
      </c>
      <c r="D144" s="22" t="s">
        <v>31</v>
      </c>
      <c r="E144" s="22" t="s">
        <v>27</v>
      </c>
      <c r="F144" s="22" t="s">
        <v>25</v>
      </c>
      <c r="G144" s="23">
        <v>10</v>
      </c>
      <c r="J144" s="23">
        <v>0.25</v>
      </c>
      <c r="K144" s="23">
        <v>0.11</v>
      </c>
      <c r="L144" s="27">
        <v>1.01</v>
      </c>
      <c r="M144" s="27">
        <v>1.038</v>
      </c>
      <c r="N144" s="27">
        <v>2.8195999999999999</v>
      </c>
      <c r="O144" s="27">
        <v>2.8817999999999997</v>
      </c>
      <c r="P144" s="22">
        <f t="shared" si="44"/>
        <v>1.8095999999999999</v>
      </c>
      <c r="Q144" s="22">
        <f t="shared" si="45"/>
        <v>1.8437999999999997</v>
      </c>
      <c r="R144" s="22">
        <f t="shared" si="40"/>
        <v>1.8266999999999998</v>
      </c>
      <c r="S144" s="22">
        <f t="shared" si="41"/>
        <v>0.97852568154498509</v>
      </c>
      <c r="T144" s="22">
        <f t="shared" si="42"/>
        <v>334.94934079284843</v>
      </c>
      <c r="U144" s="22">
        <f t="shared" si="43"/>
        <v>140.67872313299634</v>
      </c>
      <c r="V144" s="25">
        <f t="shared" si="39"/>
        <v>1406.7872313299633</v>
      </c>
      <c r="W144" s="22">
        <f t="shared" si="37"/>
        <v>1375.8379122407041</v>
      </c>
      <c r="X144" s="26">
        <f t="shared" si="38"/>
        <v>0.28135744626599268</v>
      </c>
    </row>
    <row r="145" spans="1:24" s="22" customFormat="1" x14ac:dyDescent="0.25">
      <c r="A145" s="22">
        <v>20230720</v>
      </c>
      <c r="B145" s="22" t="s">
        <v>26</v>
      </c>
      <c r="C145" s="22">
        <v>1</v>
      </c>
      <c r="D145" s="22" t="s">
        <v>31</v>
      </c>
      <c r="E145" s="22" t="s">
        <v>27</v>
      </c>
      <c r="F145" s="22" t="s">
        <v>43</v>
      </c>
      <c r="G145" s="22">
        <v>10</v>
      </c>
      <c r="J145" s="22">
        <v>0.25</v>
      </c>
      <c r="K145" s="22">
        <v>0.11</v>
      </c>
      <c r="L145" s="22">
        <v>1.1819999999999999</v>
      </c>
      <c r="M145" s="22">
        <v>1.2030000000000001</v>
      </c>
      <c r="N145" s="22">
        <v>3.6247999999999996</v>
      </c>
      <c r="O145" s="22">
        <v>3.6474000000000002</v>
      </c>
      <c r="P145" s="22">
        <f t="shared" ref="P145:Q154" si="46">N145-L145</f>
        <v>2.4427999999999996</v>
      </c>
      <c r="Q145" s="22">
        <f t="shared" si="46"/>
        <v>2.4443999999999999</v>
      </c>
      <c r="R145" s="22">
        <f t="shared" ref="R145:R154" si="47">AVERAGE(P145:Q145)</f>
        <v>2.4436</v>
      </c>
      <c r="S145" s="22">
        <f t="shared" ref="S145:S154" si="48">R145/4.2427*J145/K145</f>
        <v>1.3089863444590386</v>
      </c>
      <c r="T145" s="22">
        <f t="shared" ref="T145:T154" si="49">S145*342.3</f>
        <v>448.06602570832894</v>
      </c>
      <c r="U145" s="22">
        <f t="shared" ref="U145:U154" si="50">T145*0.42</f>
        <v>188.18773079749815</v>
      </c>
      <c r="V145" s="22">
        <f t="shared" ref="V145:V154" si="51">U145*G145</f>
        <v>1881.8773079749815</v>
      </c>
      <c r="W145" s="22">
        <f t="shared" si="37"/>
        <v>1840.4760071995318</v>
      </c>
      <c r="X145" s="26">
        <f t="shared" si="38"/>
        <v>0.3763754615949963</v>
      </c>
    </row>
    <row r="146" spans="1:24" s="22" customFormat="1" x14ac:dyDescent="0.25">
      <c r="A146" s="22">
        <v>20230720</v>
      </c>
      <c r="B146" s="22" t="s">
        <v>26</v>
      </c>
      <c r="C146" s="22">
        <v>2</v>
      </c>
      <c r="D146" s="22" t="s">
        <v>31</v>
      </c>
      <c r="E146" s="22" t="s">
        <v>27</v>
      </c>
      <c r="F146" s="22" t="s">
        <v>43</v>
      </c>
      <c r="G146" s="22">
        <v>10</v>
      </c>
      <c r="J146" s="22">
        <v>0.25</v>
      </c>
      <c r="K146" s="22">
        <v>0.11</v>
      </c>
      <c r="L146" s="22">
        <v>0.98499999999999999</v>
      </c>
      <c r="M146" s="22">
        <v>1.006</v>
      </c>
      <c r="N146" s="22">
        <v>3.6467999999999998</v>
      </c>
      <c r="O146" s="22">
        <v>3.6509999999999998</v>
      </c>
      <c r="P146" s="22">
        <f t="shared" si="46"/>
        <v>2.6617999999999999</v>
      </c>
      <c r="Q146" s="22">
        <f t="shared" si="46"/>
        <v>2.6449999999999996</v>
      </c>
      <c r="R146" s="22">
        <f t="shared" si="47"/>
        <v>2.6533999999999995</v>
      </c>
      <c r="S146" s="22">
        <f t="shared" si="48"/>
        <v>1.4213718965410103</v>
      </c>
      <c r="T146" s="22">
        <f t="shared" si="49"/>
        <v>486.53560018598785</v>
      </c>
      <c r="U146" s="22">
        <f t="shared" si="50"/>
        <v>204.34495207811489</v>
      </c>
      <c r="V146" s="22">
        <f t="shared" si="51"/>
        <v>2043.4495207811487</v>
      </c>
      <c r="W146" s="22">
        <f t="shared" si="37"/>
        <v>1998.4936313239634</v>
      </c>
      <c r="X146" s="26">
        <f t="shared" si="38"/>
        <v>0.4086899041562298</v>
      </c>
    </row>
    <row r="147" spans="1:24" s="22" customFormat="1" x14ac:dyDescent="0.25">
      <c r="A147" s="22">
        <v>20230720</v>
      </c>
      <c r="B147" s="22" t="s">
        <v>26</v>
      </c>
      <c r="C147" s="22">
        <v>3</v>
      </c>
      <c r="D147" s="22" t="s">
        <v>31</v>
      </c>
      <c r="E147" s="22" t="s">
        <v>27</v>
      </c>
      <c r="F147" s="22" t="s">
        <v>43</v>
      </c>
      <c r="G147" s="22">
        <v>10</v>
      </c>
      <c r="J147" s="22">
        <v>0.25</v>
      </c>
      <c r="K147" s="22">
        <v>0.11</v>
      </c>
      <c r="L147" s="22">
        <v>0.63</v>
      </c>
      <c r="M147" s="22">
        <v>0.64700000000000002</v>
      </c>
      <c r="N147" s="22">
        <v>3.5609999999999999</v>
      </c>
      <c r="O147" s="22">
        <v>3.5728</v>
      </c>
      <c r="P147" s="22">
        <f t="shared" si="46"/>
        <v>2.931</v>
      </c>
      <c r="Q147" s="22">
        <f t="shared" si="46"/>
        <v>2.9257999999999997</v>
      </c>
      <c r="R147" s="22">
        <f t="shared" si="47"/>
        <v>2.9283999999999999</v>
      </c>
      <c r="S147" s="22">
        <f t="shared" si="48"/>
        <v>1.5686837498419743</v>
      </c>
      <c r="T147" s="22">
        <f t="shared" si="49"/>
        <v>536.96044757090783</v>
      </c>
      <c r="U147" s="22">
        <f t="shared" si="50"/>
        <v>225.52338797978129</v>
      </c>
      <c r="V147" s="22">
        <f t="shared" si="51"/>
        <v>2255.2338797978127</v>
      </c>
      <c r="W147" s="22">
        <f t="shared" si="37"/>
        <v>2205.618734442261</v>
      </c>
      <c r="X147" s="26">
        <f t="shared" si="38"/>
        <v>0.45104677595956261</v>
      </c>
    </row>
    <row r="148" spans="1:24" s="22" customFormat="1" x14ac:dyDescent="0.25">
      <c r="A148" s="22">
        <v>20230720</v>
      </c>
      <c r="B148" s="22" t="s">
        <v>26</v>
      </c>
      <c r="C148" s="22">
        <v>4</v>
      </c>
      <c r="D148" s="22" t="s">
        <v>31</v>
      </c>
      <c r="E148" s="22" t="s">
        <v>27</v>
      </c>
      <c r="F148" s="22" t="s">
        <v>43</v>
      </c>
      <c r="G148" s="22">
        <v>10</v>
      </c>
      <c r="J148" s="22">
        <v>0.25</v>
      </c>
      <c r="K148" s="22">
        <v>0.11</v>
      </c>
      <c r="L148" s="22">
        <v>0.71899999999999997</v>
      </c>
      <c r="M148" s="22">
        <v>0.71899999999999997</v>
      </c>
      <c r="N148" s="22">
        <v>3.5533999999999999</v>
      </c>
      <c r="O148" s="22">
        <v>3.5488</v>
      </c>
      <c r="P148" s="22">
        <f t="shared" si="46"/>
        <v>2.8344</v>
      </c>
      <c r="Q148" s="22">
        <f t="shared" si="46"/>
        <v>2.8298000000000001</v>
      </c>
      <c r="R148" s="22">
        <f t="shared" si="47"/>
        <v>2.8321000000000001</v>
      </c>
      <c r="S148" s="22">
        <f t="shared" si="48"/>
        <v>1.5170978172133098</v>
      </c>
      <c r="T148" s="22">
        <f t="shared" si="49"/>
        <v>519.30258283211595</v>
      </c>
      <c r="U148" s="22">
        <f t="shared" si="50"/>
        <v>218.10708478948868</v>
      </c>
      <c r="V148" s="22">
        <f t="shared" si="51"/>
        <v>2181.0708478948868</v>
      </c>
      <c r="W148" s="22">
        <f t="shared" si="37"/>
        <v>2133.087289241199</v>
      </c>
      <c r="X148" s="26">
        <f t="shared" si="38"/>
        <v>0.43621416957897735</v>
      </c>
    </row>
    <row r="149" spans="1:24" s="22" customFormat="1" x14ac:dyDescent="0.25">
      <c r="A149" s="22">
        <v>20230720</v>
      </c>
      <c r="B149" s="22" t="s">
        <v>26</v>
      </c>
      <c r="C149" s="22">
        <v>5</v>
      </c>
      <c r="D149" s="22" t="s">
        <v>31</v>
      </c>
      <c r="E149" s="22" t="s">
        <v>27</v>
      </c>
      <c r="F149" s="22" t="s">
        <v>43</v>
      </c>
      <c r="G149" s="22">
        <v>10</v>
      </c>
      <c r="J149" s="22">
        <v>0.25</v>
      </c>
      <c r="K149" s="22">
        <v>0.11</v>
      </c>
      <c r="L149" s="22">
        <v>0.86799999999999999</v>
      </c>
      <c r="M149" s="22">
        <v>0.88700000000000001</v>
      </c>
      <c r="N149" s="22">
        <v>3.6012</v>
      </c>
      <c r="O149" s="22">
        <v>3.6362000000000001</v>
      </c>
      <c r="P149" s="22">
        <f t="shared" si="46"/>
        <v>2.7332000000000001</v>
      </c>
      <c r="Q149" s="22">
        <f t="shared" si="46"/>
        <v>2.7492000000000001</v>
      </c>
      <c r="R149" s="22">
        <f t="shared" si="47"/>
        <v>2.7412000000000001</v>
      </c>
      <c r="S149" s="22">
        <f t="shared" si="48"/>
        <v>1.4684045537040094</v>
      </c>
      <c r="T149" s="22">
        <f t="shared" si="49"/>
        <v>502.63487873288244</v>
      </c>
      <c r="U149" s="22">
        <f t="shared" si="50"/>
        <v>211.10664906781062</v>
      </c>
      <c r="V149" s="22">
        <f t="shared" si="51"/>
        <v>2111.0664906781062</v>
      </c>
      <c r="W149" s="22">
        <f t="shared" si="37"/>
        <v>2064.6230278831877</v>
      </c>
      <c r="X149" s="26">
        <f t="shared" si="38"/>
        <v>0.42221329813562125</v>
      </c>
    </row>
    <row r="150" spans="1:24" s="22" customFormat="1" x14ac:dyDescent="0.25">
      <c r="A150" s="22">
        <v>20230926</v>
      </c>
      <c r="B150" s="22" t="s">
        <v>32</v>
      </c>
      <c r="C150" s="22">
        <v>1</v>
      </c>
      <c r="D150" s="22" t="s">
        <v>31</v>
      </c>
      <c r="E150" s="22" t="s">
        <v>27</v>
      </c>
      <c r="F150" s="22" t="s">
        <v>43</v>
      </c>
      <c r="G150" s="22">
        <v>10</v>
      </c>
      <c r="J150" s="22">
        <v>0.25</v>
      </c>
      <c r="K150" s="22">
        <v>0.11</v>
      </c>
      <c r="L150" s="22">
        <v>0.8</v>
      </c>
      <c r="M150" s="22">
        <v>0.82599999999999996</v>
      </c>
      <c r="N150" s="22">
        <v>2.4672000000000005</v>
      </c>
      <c r="O150" s="22">
        <v>2.4970000000000003</v>
      </c>
      <c r="P150" s="22">
        <f t="shared" si="46"/>
        <v>1.6672000000000005</v>
      </c>
      <c r="Q150" s="22">
        <f t="shared" si="46"/>
        <v>1.6710000000000003</v>
      </c>
      <c r="R150" s="22">
        <f t="shared" si="47"/>
        <v>1.6691000000000003</v>
      </c>
      <c r="S150" s="22">
        <f t="shared" si="48"/>
        <v>0.89410259761686928</v>
      </c>
      <c r="T150" s="22">
        <f t="shared" si="49"/>
        <v>306.05131916425438</v>
      </c>
      <c r="U150" s="22">
        <f t="shared" si="50"/>
        <v>128.54155404898682</v>
      </c>
      <c r="V150" s="22">
        <f t="shared" si="51"/>
        <v>1285.4155404898684</v>
      </c>
      <c r="W150" s="22">
        <f t="shared" si="37"/>
        <v>1257.1363985990911</v>
      </c>
      <c r="X150" s="26">
        <f t="shared" si="38"/>
        <v>0.25708310809797363</v>
      </c>
    </row>
    <row r="151" spans="1:24" s="22" customFormat="1" x14ac:dyDescent="0.25">
      <c r="A151" s="22">
        <v>20230926</v>
      </c>
      <c r="B151" s="22" t="s">
        <v>32</v>
      </c>
      <c r="C151" s="22">
        <v>2</v>
      </c>
      <c r="D151" s="22" t="s">
        <v>31</v>
      </c>
      <c r="E151" s="22" t="s">
        <v>27</v>
      </c>
      <c r="F151" s="22" t="s">
        <v>43</v>
      </c>
      <c r="G151" s="22">
        <v>10</v>
      </c>
      <c r="J151" s="22">
        <v>0.25</v>
      </c>
      <c r="K151" s="22">
        <v>0.11</v>
      </c>
      <c r="L151" s="22">
        <v>0.52500000000000002</v>
      </c>
      <c r="M151" s="22">
        <v>0.52700000000000002</v>
      </c>
      <c r="N151" s="22">
        <v>2.0720000000000001</v>
      </c>
      <c r="O151" s="22">
        <v>2.0798000000000001</v>
      </c>
      <c r="P151" s="22">
        <f t="shared" si="46"/>
        <v>1.5470000000000002</v>
      </c>
      <c r="Q151" s="22">
        <f t="shared" si="46"/>
        <v>1.5528</v>
      </c>
      <c r="R151" s="22">
        <f t="shared" si="47"/>
        <v>1.5499000000000001</v>
      </c>
      <c r="S151" s="22">
        <f t="shared" si="48"/>
        <v>0.83024960520423319</v>
      </c>
      <c r="T151" s="22">
        <f t="shared" si="49"/>
        <v>284.19443986140902</v>
      </c>
      <c r="U151" s="22">
        <f t="shared" si="50"/>
        <v>119.36166474179178</v>
      </c>
      <c r="V151" s="22">
        <f t="shared" si="51"/>
        <v>1193.6166474179179</v>
      </c>
      <c r="W151" s="22">
        <f t="shared" si="37"/>
        <v>1167.3570811747236</v>
      </c>
      <c r="X151" s="26">
        <f t="shared" si="38"/>
        <v>0.23872332948358357</v>
      </c>
    </row>
    <row r="152" spans="1:24" s="22" customFormat="1" x14ac:dyDescent="0.25">
      <c r="A152" s="22">
        <v>20230926</v>
      </c>
      <c r="B152" s="22" t="s">
        <v>32</v>
      </c>
      <c r="C152" s="22">
        <v>3</v>
      </c>
      <c r="D152" s="22" t="s">
        <v>31</v>
      </c>
      <c r="E152" s="22" t="s">
        <v>27</v>
      </c>
      <c r="F152" s="22" t="s">
        <v>43</v>
      </c>
      <c r="G152" s="22">
        <v>10</v>
      </c>
      <c r="J152" s="22">
        <v>0.25</v>
      </c>
      <c r="K152" s="22">
        <v>0.11</v>
      </c>
      <c r="L152" s="22">
        <v>0.52600000000000002</v>
      </c>
      <c r="M152" s="22">
        <v>0.52300000000000002</v>
      </c>
      <c r="N152" s="22">
        <v>2.6476000000000002</v>
      </c>
      <c r="O152" s="22">
        <v>2.6417999999999999</v>
      </c>
      <c r="P152" s="22">
        <f t="shared" si="46"/>
        <v>2.1215999999999999</v>
      </c>
      <c r="Q152" s="22">
        <f t="shared" si="46"/>
        <v>2.1187999999999998</v>
      </c>
      <c r="R152" s="22">
        <f t="shared" si="47"/>
        <v>2.1201999999999996</v>
      </c>
      <c r="S152" s="22">
        <f t="shared" si="48"/>
        <v>1.1357476049771049</v>
      </c>
      <c r="T152" s="22">
        <f t="shared" si="49"/>
        <v>388.76640518366304</v>
      </c>
      <c r="U152" s="22">
        <f t="shared" si="50"/>
        <v>163.28189017713848</v>
      </c>
      <c r="V152" s="22">
        <f t="shared" si="51"/>
        <v>1632.8189017713848</v>
      </c>
      <c r="W152" s="22">
        <f t="shared" si="37"/>
        <v>1596.8968859324143</v>
      </c>
      <c r="X152" s="26">
        <f t="shared" si="38"/>
        <v>0.32656378035427697</v>
      </c>
    </row>
    <row r="153" spans="1:24" s="22" customFormat="1" x14ac:dyDescent="0.25">
      <c r="A153" s="22">
        <v>20230926</v>
      </c>
      <c r="B153" s="22" t="s">
        <v>32</v>
      </c>
      <c r="C153" s="22">
        <v>4</v>
      </c>
      <c r="D153" s="22" t="s">
        <v>31</v>
      </c>
      <c r="E153" s="22" t="s">
        <v>27</v>
      </c>
      <c r="F153" s="22" t="s">
        <v>43</v>
      </c>
      <c r="G153" s="22">
        <v>10</v>
      </c>
      <c r="J153" s="22">
        <v>0.25</v>
      </c>
      <c r="K153" s="22">
        <v>0.11</v>
      </c>
      <c r="L153" s="22">
        <v>0.60799999999999998</v>
      </c>
      <c r="M153" s="22">
        <v>0.61</v>
      </c>
      <c r="N153" s="22">
        <v>2.7227999999999999</v>
      </c>
      <c r="O153" s="22">
        <v>2.7589999999999999</v>
      </c>
      <c r="P153" s="22">
        <f t="shared" si="46"/>
        <v>2.1147999999999998</v>
      </c>
      <c r="Q153" s="22">
        <f t="shared" si="46"/>
        <v>2.149</v>
      </c>
      <c r="R153" s="22">
        <f t="shared" si="47"/>
        <v>2.1318999999999999</v>
      </c>
      <c r="S153" s="22">
        <f t="shared" si="48"/>
        <v>1.1420150547357277</v>
      </c>
      <c r="T153" s="22">
        <f t="shared" si="49"/>
        <v>390.9117532360396</v>
      </c>
      <c r="U153" s="22">
        <f t="shared" si="50"/>
        <v>164.18293635913662</v>
      </c>
      <c r="V153" s="22">
        <f t="shared" si="51"/>
        <v>1641.8293635913662</v>
      </c>
      <c r="W153" s="22">
        <f t="shared" si="37"/>
        <v>1605.7091175923561</v>
      </c>
      <c r="X153" s="26">
        <f t="shared" si="38"/>
        <v>0.32836587271827322</v>
      </c>
    </row>
    <row r="154" spans="1:24" s="22" customFormat="1" x14ac:dyDescent="0.25">
      <c r="A154" s="22">
        <v>20230926</v>
      </c>
      <c r="B154" s="22" t="s">
        <v>32</v>
      </c>
      <c r="C154" s="22">
        <v>5</v>
      </c>
      <c r="D154" s="22" t="s">
        <v>31</v>
      </c>
      <c r="E154" s="22" t="s">
        <v>27</v>
      </c>
      <c r="F154" s="22" t="s">
        <v>43</v>
      </c>
      <c r="G154" s="22">
        <v>10</v>
      </c>
      <c r="J154" s="22">
        <v>0.25</v>
      </c>
      <c r="K154" s="22">
        <v>0.11</v>
      </c>
      <c r="L154" s="22">
        <v>0.69399999999999995</v>
      </c>
      <c r="M154" s="22">
        <v>0.68</v>
      </c>
      <c r="N154" s="22">
        <v>3.1937999999999995</v>
      </c>
      <c r="O154" s="22">
        <v>3.0892000000000004</v>
      </c>
      <c r="P154" s="22">
        <f t="shared" si="46"/>
        <v>2.4997999999999996</v>
      </c>
      <c r="Q154" s="22">
        <f t="shared" si="46"/>
        <v>2.4092000000000002</v>
      </c>
      <c r="R154" s="22">
        <f t="shared" si="47"/>
        <v>2.4544999999999999</v>
      </c>
      <c r="S154" s="22">
        <f t="shared" si="48"/>
        <v>1.3148252506444225</v>
      </c>
      <c r="T154" s="22">
        <f t="shared" si="49"/>
        <v>450.06468329558584</v>
      </c>
      <c r="U154" s="22">
        <f t="shared" si="50"/>
        <v>189.02716698414605</v>
      </c>
      <c r="V154" s="22">
        <f t="shared" si="51"/>
        <v>1890.2716698414606</v>
      </c>
      <c r="W154" s="22">
        <f t="shared" si="37"/>
        <v>1848.6856931049483</v>
      </c>
      <c r="X154" s="26">
        <f t="shared" si="38"/>
        <v>0.37805433396829208</v>
      </c>
    </row>
  </sheetData>
  <autoFilter ref="A1:W154"/>
  <conditionalFormatting sqref="P1:P70 P155:P1048576 P76:P144 S145:S154">
    <cfRule type="cellIs" dxfId="3" priority="3" operator="lessThan">
      <formula>0</formula>
    </cfRule>
  </conditionalFormatting>
  <conditionalFormatting sqref="S71:S75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"/>
  <sheetViews>
    <sheetView zoomScale="120" zoomScaleNormal="120" workbookViewId="0">
      <pane xSplit="6" topLeftCell="G1" activePane="topRight" state="frozen"/>
      <selection pane="topRight" activeCell="T3" sqref="T3"/>
    </sheetView>
  </sheetViews>
  <sheetFormatPr defaultRowHeight="15" x14ac:dyDescent="0.25"/>
  <cols>
    <col min="1" max="1" width="13.140625" bestFit="1" customWidth="1"/>
    <col min="4" max="5" width="10.7109375" customWidth="1"/>
    <col min="6" max="6" width="12.140625" customWidth="1"/>
  </cols>
  <sheetData>
    <row r="1" spans="1:24" ht="15.75" x14ac:dyDescent="0.25">
      <c r="A1" s="1" t="s">
        <v>14</v>
      </c>
      <c r="B1" s="1" t="s">
        <v>15</v>
      </c>
      <c r="C1" s="6" t="s">
        <v>0</v>
      </c>
      <c r="D1" s="6" t="s">
        <v>28</v>
      </c>
      <c r="E1" s="6" t="s">
        <v>37</v>
      </c>
      <c r="F1" s="1" t="s">
        <v>16</v>
      </c>
      <c r="G1" s="1" t="s">
        <v>20</v>
      </c>
      <c r="H1" s="6" t="s">
        <v>1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  <c r="O1" s="6" t="s">
        <v>10</v>
      </c>
      <c r="P1" s="6" t="s">
        <v>11</v>
      </c>
      <c r="Q1" s="6" t="s">
        <v>12</v>
      </c>
      <c r="R1" s="6" t="s">
        <v>13</v>
      </c>
      <c r="S1" s="6" t="s">
        <v>35</v>
      </c>
      <c r="T1" s="1" t="s">
        <v>36</v>
      </c>
      <c r="U1" s="1"/>
      <c r="V1" s="2" t="s">
        <v>44</v>
      </c>
      <c r="W1" s="1"/>
    </row>
    <row r="2" spans="1:24" s="10" customFormat="1" ht="15.75" x14ac:dyDescent="0.25">
      <c r="A2" s="16">
        <v>20230823</v>
      </c>
      <c r="B2" s="7" t="s">
        <v>26</v>
      </c>
      <c r="C2" s="7">
        <v>1</v>
      </c>
      <c r="D2" s="7" t="s">
        <v>31</v>
      </c>
      <c r="E2" s="7" t="s">
        <v>38</v>
      </c>
      <c r="G2" s="7" t="s">
        <v>21</v>
      </c>
      <c r="H2" s="10">
        <v>10</v>
      </c>
      <c r="I2" s="10">
        <v>0.25</v>
      </c>
      <c r="J2" s="10">
        <v>0.11</v>
      </c>
      <c r="K2" s="10">
        <v>1.625</v>
      </c>
      <c r="L2" s="10">
        <v>1.6819999999999999</v>
      </c>
      <c r="M2" s="10">
        <v>3.8248000000000006</v>
      </c>
      <c r="N2" s="10">
        <v>3.8365999999999998</v>
      </c>
      <c r="O2" s="10">
        <f t="shared" ref="O2:P14" si="0">M2-K2</f>
        <v>2.1998000000000006</v>
      </c>
      <c r="P2" s="10">
        <f t="shared" si="0"/>
        <v>2.1545999999999998</v>
      </c>
      <c r="Q2" s="10">
        <f t="shared" ref="Q2:Q14" si="1">AVERAGE(O2:P2)</f>
        <v>2.1772</v>
      </c>
      <c r="R2" s="7">
        <f>Q2/4.2427*I2/J2</f>
        <v>1.1662813345703957</v>
      </c>
      <c r="S2" s="7">
        <f>R2*342.3</f>
        <v>399.21810082344649</v>
      </c>
      <c r="T2" s="7">
        <f>S2*0.42</f>
        <v>167.67160234584753</v>
      </c>
      <c r="V2" s="11">
        <f>T2*2/1000</f>
        <v>0.33534320469169504</v>
      </c>
      <c r="W2" s="7"/>
      <c r="X2" s="7"/>
    </row>
    <row r="3" spans="1:24" s="10" customFormat="1" ht="15.75" x14ac:dyDescent="0.25">
      <c r="A3" s="16">
        <v>20230822</v>
      </c>
      <c r="B3" s="7" t="s">
        <v>26</v>
      </c>
      <c r="C3" s="7">
        <v>2</v>
      </c>
      <c r="D3" s="7" t="s">
        <v>31</v>
      </c>
      <c r="E3" s="7" t="s">
        <v>38</v>
      </c>
      <c r="G3" s="7" t="s">
        <v>21</v>
      </c>
      <c r="H3" s="10">
        <v>10</v>
      </c>
      <c r="I3" s="10">
        <v>0.25</v>
      </c>
      <c r="J3" s="10">
        <v>0.11</v>
      </c>
      <c r="K3" s="10">
        <v>1.206</v>
      </c>
      <c r="L3" s="10">
        <v>1.2230000000000001</v>
      </c>
      <c r="M3" s="10">
        <v>3.7961999999999998</v>
      </c>
      <c r="N3" s="10">
        <v>3.8082000000000003</v>
      </c>
      <c r="O3" s="10">
        <f t="shared" si="0"/>
        <v>2.5901999999999998</v>
      </c>
      <c r="P3" s="10">
        <f t="shared" si="0"/>
        <v>2.5852000000000004</v>
      </c>
      <c r="Q3" s="10">
        <f t="shared" si="1"/>
        <v>2.5876999999999999</v>
      </c>
      <c r="R3" s="7">
        <f t="shared" ref="R2:R14" si="2">Q3/4.2427*I3/J3</f>
        <v>1.3861777555887436</v>
      </c>
      <c r="S3" s="7">
        <f t="shared" ref="S2:S14" si="3">R3*342.3</f>
        <v>474.48864573802695</v>
      </c>
      <c r="T3" s="7">
        <f t="shared" ref="T2:T14" si="4">S3*0.42</f>
        <v>199.2852312099713</v>
      </c>
      <c r="V3" s="11">
        <f t="shared" ref="V3:V14" si="5">T3*2/1000</f>
        <v>0.39857046241994259</v>
      </c>
      <c r="W3" s="7"/>
      <c r="X3" s="7"/>
    </row>
    <row r="4" spans="1:24" s="10" customFormat="1" ht="15.75" x14ac:dyDescent="0.25">
      <c r="A4" s="16">
        <v>20230823</v>
      </c>
      <c r="B4" s="7" t="s">
        <v>26</v>
      </c>
      <c r="C4" s="7">
        <v>3</v>
      </c>
      <c r="D4" s="7" t="s">
        <v>31</v>
      </c>
      <c r="E4" s="7" t="s">
        <v>39</v>
      </c>
      <c r="G4" s="7" t="s">
        <v>21</v>
      </c>
      <c r="H4" s="10">
        <v>10</v>
      </c>
      <c r="I4" s="10">
        <v>0.25</v>
      </c>
      <c r="J4" s="10">
        <v>0.11</v>
      </c>
      <c r="K4" s="10">
        <v>1.357</v>
      </c>
      <c r="L4" s="10">
        <v>1.391</v>
      </c>
      <c r="M4" s="10">
        <v>3.7421999999999995</v>
      </c>
      <c r="N4" s="10">
        <v>3.7096000000000005</v>
      </c>
      <c r="O4" s="10">
        <f t="shared" si="0"/>
        <v>2.3851999999999993</v>
      </c>
      <c r="P4" s="10">
        <f t="shared" si="0"/>
        <v>2.3186000000000004</v>
      </c>
      <c r="Q4" s="10">
        <f t="shared" si="1"/>
        <v>2.3518999999999997</v>
      </c>
      <c r="R4" s="7">
        <f t="shared" si="2"/>
        <v>1.2598645373764987</v>
      </c>
      <c r="S4" s="7">
        <f t="shared" si="3"/>
        <v>431.25163114397554</v>
      </c>
      <c r="T4" s="7">
        <f t="shared" si="4"/>
        <v>181.12568508046971</v>
      </c>
      <c r="V4" s="11">
        <f t="shared" si="5"/>
        <v>0.36225137016093939</v>
      </c>
      <c r="W4" s="7"/>
      <c r="X4" s="7"/>
    </row>
    <row r="5" spans="1:24" s="10" customFormat="1" ht="15.75" x14ac:dyDescent="0.25">
      <c r="A5" s="16">
        <v>20230823</v>
      </c>
      <c r="B5" s="7" t="s">
        <v>26</v>
      </c>
      <c r="C5" s="7">
        <v>1</v>
      </c>
      <c r="D5" s="7" t="s">
        <v>30</v>
      </c>
      <c r="E5" s="7" t="s">
        <v>39</v>
      </c>
      <c r="F5" s="10" t="s">
        <v>18</v>
      </c>
      <c r="G5" s="7" t="s">
        <v>21</v>
      </c>
      <c r="H5" s="10">
        <v>10</v>
      </c>
      <c r="I5" s="10">
        <v>0.25</v>
      </c>
      <c r="J5" s="10">
        <v>0.11</v>
      </c>
      <c r="K5" s="10">
        <v>0.86399999999999999</v>
      </c>
      <c r="L5" s="10">
        <v>0.873</v>
      </c>
      <c r="M5" s="10">
        <v>3.6309999999999993</v>
      </c>
      <c r="N5" s="10">
        <v>3.6280000000000001</v>
      </c>
      <c r="O5" s="10">
        <f t="shared" si="0"/>
        <v>2.7669999999999995</v>
      </c>
      <c r="P5" s="10">
        <f t="shared" si="0"/>
        <v>2.7549999999999999</v>
      </c>
      <c r="Q5" s="10">
        <f t="shared" si="1"/>
        <v>2.7609999999999997</v>
      </c>
      <c r="R5" s="7">
        <f t="shared" si="2"/>
        <v>1.4790110071416784</v>
      </c>
      <c r="S5" s="7">
        <f t="shared" si="3"/>
        <v>506.26546774459655</v>
      </c>
      <c r="T5" s="7">
        <f t="shared" si="4"/>
        <v>212.63149645273054</v>
      </c>
      <c r="V5" s="11">
        <f t="shared" si="5"/>
        <v>0.4252629929054611</v>
      </c>
      <c r="W5" s="7"/>
      <c r="X5" s="7"/>
    </row>
    <row r="6" spans="1:24" s="10" customFormat="1" ht="15.75" x14ac:dyDescent="0.25">
      <c r="A6" s="16">
        <v>20230823</v>
      </c>
      <c r="B6" s="7" t="s">
        <v>26</v>
      </c>
      <c r="C6" s="7">
        <v>1</v>
      </c>
      <c r="D6" s="7" t="s">
        <v>30</v>
      </c>
      <c r="E6" s="7" t="s">
        <v>40</v>
      </c>
      <c r="F6" s="10" t="s">
        <v>18</v>
      </c>
      <c r="G6" s="7" t="s">
        <v>21</v>
      </c>
      <c r="H6" s="10">
        <v>10</v>
      </c>
      <c r="I6" s="10">
        <v>0.25</v>
      </c>
      <c r="J6" s="10">
        <v>0.11</v>
      </c>
      <c r="K6" s="10">
        <v>0.84099999999999997</v>
      </c>
      <c r="L6" s="10">
        <v>0.83299999999999996</v>
      </c>
      <c r="M6" s="10">
        <v>3.4942000000000002</v>
      </c>
      <c r="N6" s="10">
        <v>3.4776000000000002</v>
      </c>
      <c r="O6" s="10">
        <f t="shared" si="0"/>
        <v>2.6532</v>
      </c>
      <c r="P6" s="10">
        <f t="shared" si="0"/>
        <v>2.6446000000000005</v>
      </c>
      <c r="Q6" s="10">
        <f t="shared" si="1"/>
        <v>2.6489000000000003</v>
      </c>
      <c r="R6" s="7">
        <f t="shared" si="2"/>
        <v>1.4189613389415403</v>
      </c>
      <c r="S6" s="7">
        <f t="shared" si="3"/>
        <v>485.71046631968926</v>
      </c>
      <c r="T6" s="7">
        <f t="shared" si="4"/>
        <v>203.99839585426949</v>
      </c>
      <c r="V6" s="11">
        <f t="shared" si="5"/>
        <v>0.40799679170853898</v>
      </c>
      <c r="W6" s="7"/>
      <c r="X6" s="7"/>
    </row>
    <row r="7" spans="1:24" s="10" customFormat="1" ht="15.75" x14ac:dyDescent="0.25">
      <c r="A7" s="16">
        <v>20230823</v>
      </c>
      <c r="B7" s="7" t="s">
        <v>26</v>
      </c>
      <c r="C7" s="7">
        <v>1</v>
      </c>
      <c r="D7" s="7" t="s">
        <v>30</v>
      </c>
      <c r="E7" s="7" t="s">
        <v>39</v>
      </c>
      <c r="F7" s="10" t="s">
        <v>27</v>
      </c>
      <c r="G7" s="7" t="s">
        <v>21</v>
      </c>
      <c r="H7" s="10">
        <v>10</v>
      </c>
      <c r="I7" s="10">
        <v>0.25</v>
      </c>
      <c r="J7" s="10">
        <v>0.11</v>
      </c>
      <c r="K7" s="10">
        <v>0.47899999999999998</v>
      </c>
      <c r="L7" s="10">
        <v>0.47899999999999998</v>
      </c>
      <c r="M7" s="10">
        <v>2.7174</v>
      </c>
      <c r="N7" s="10">
        <v>2.7843999999999998</v>
      </c>
      <c r="O7" s="10">
        <f t="shared" si="0"/>
        <v>2.2383999999999999</v>
      </c>
      <c r="P7" s="10">
        <f t="shared" si="0"/>
        <v>2.3053999999999997</v>
      </c>
      <c r="Q7" s="10">
        <f t="shared" si="1"/>
        <v>2.2718999999999996</v>
      </c>
      <c r="R7" s="7">
        <f t="shared" si="2"/>
        <v>1.2170101800525821</v>
      </c>
      <c r="S7" s="7">
        <f t="shared" si="3"/>
        <v>416.58258463199888</v>
      </c>
      <c r="T7" s="7">
        <f t="shared" si="4"/>
        <v>174.96468554543952</v>
      </c>
      <c r="V7" s="11">
        <f t="shared" si="5"/>
        <v>0.34992937109087907</v>
      </c>
      <c r="W7" s="7"/>
      <c r="X7" s="7"/>
    </row>
    <row r="8" spans="1:24" s="10" customFormat="1" ht="15.75" x14ac:dyDescent="0.25">
      <c r="A8" s="16">
        <v>20230823</v>
      </c>
      <c r="B8" s="7" t="s">
        <v>26</v>
      </c>
      <c r="C8" s="7">
        <v>1</v>
      </c>
      <c r="D8" s="7" t="s">
        <v>30</v>
      </c>
      <c r="E8" s="7" t="s">
        <v>38</v>
      </c>
      <c r="F8" s="10" t="s">
        <v>41</v>
      </c>
      <c r="G8" s="7" t="s">
        <v>21</v>
      </c>
      <c r="H8" s="10">
        <v>10</v>
      </c>
      <c r="I8" s="10">
        <v>0.25</v>
      </c>
      <c r="J8" s="10">
        <v>0.11</v>
      </c>
      <c r="K8" s="10">
        <v>0.374</v>
      </c>
      <c r="L8" s="10">
        <v>0.375</v>
      </c>
      <c r="M8" s="10">
        <v>1.796</v>
      </c>
      <c r="N8" s="10">
        <v>1.8317999999999999</v>
      </c>
      <c r="O8" s="10">
        <f t="shared" si="0"/>
        <v>1.4220000000000002</v>
      </c>
      <c r="P8" s="10">
        <f t="shared" si="0"/>
        <v>1.4567999999999999</v>
      </c>
      <c r="Q8" s="10">
        <f t="shared" si="1"/>
        <v>1.4394</v>
      </c>
      <c r="R8" s="7">
        <f t="shared" si="2"/>
        <v>0.77105702415057309</v>
      </c>
      <c r="S8" s="7">
        <f t="shared" si="3"/>
        <v>263.93281936674117</v>
      </c>
      <c r="T8" s="7">
        <f t="shared" si="4"/>
        <v>110.85178413403129</v>
      </c>
      <c r="V8" s="11">
        <f t="shared" si="5"/>
        <v>0.22170356826806259</v>
      </c>
      <c r="W8" s="7"/>
      <c r="X8" s="7"/>
    </row>
    <row r="9" spans="1:24" s="10" customFormat="1" ht="15.75" x14ac:dyDescent="0.25">
      <c r="A9" s="16">
        <v>20230822</v>
      </c>
      <c r="B9" s="7" t="s">
        <v>26</v>
      </c>
      <c r="C9" s="7">
        <v>2</v>
      </c>
      <c r="D9" s="7" t="s">
        <v>30</v>
      </c>
      <c r="E9" s="7" t="s">
        <v>39</v>
      </c>
      <c r="F9" s="10" t="s">
        <v>18</v>
      </c>
      <c r="G9" s="7" t="s">
        <v>21</v>
      </c>
      <c r="H9" s="10">
        <v>10</v>
      </c>
      <c r="I9" s="10">
        <v>0.25</v>
      </c>
      <c r="J9" s="10">
        <v>0.11</v>
      </c>
      <c r="K9" s="10">
        <v>0.46400000000000002</v>
      </c>
      <c r="L9" s="10">
        <v>0.46600000000000003</v>
      </c>
      <c r="M9" s="10">
        <v>3.1674000000000002</v>
      </c>
      <c r="N9" s="10">
        <v>3.2016</v>
      </c>
      <c r="O9" s="10">
        <f t="shared" si="0"/>
        <v>2.7034000000000002</v>
      </c>
      <c r="P9" s="10">
        <f t="shared" si="0"/>
        <v>2.7355999999999998</v>
      </c>
      <c r="Q9" s="10">
        <f t="shared" si="1"/>
        <v>2.7195</v>
      </c>
      <c r="R9" s="7">
        <f t="shared" si="2"/>
        <v>1.4567803092798968</v>
      </c>
      <c r="S9" s="7">
        <f t="shared" si="3"/>
        <v>498.65589986650866</v>
      </c>
      <c r="T9" s="7">
        <f t="shared" si="4"/>
        <v>209.43547794393362</v>
      </c>
      <c r="V9" s="11">
        <f t="shared" si="5"/>
        <v>0.41887095588786721</v>
      </c>
      <c r="W9" s="7"/>
      <c r="X9" s="7"/>
    </row>
    <row r="10" spans="1:24" s="10" customFormat="1" ht="15.75" x14ac:dyDescent="0.25">
      <c r="A10" s="16">
        <v>20230822</v>
      </c>
      <c r="B10" s="7" t="s">
        <v>26</v>
      </c>
      <c r="C10" s="7">
        <v>2</v>
      </c>
      <c r="D10" s="7" t="s">
        <v>30</v>
      </c>
      <c r="E10" s="7" t="s">
        <v>39</v>
      </c>
      <c r="F10" s="10" t="s">
        <v>27</v>
      </c>
      <c r="G10" s="7" t="s">
        <v>21</v>
      </c>
      <c r="H10" s="10">
        <v>10</v>
      </c>
      <c r="I10" s="10">
        <v>0.25</v>
      </c>
      <c r="J10" s="10">
        <v>0.11</v>
      </c>
      <c r="K10" s="10">
        <v>0.59299999999999997</v>
      </c>
      <c r="L10" s="10">
        <v>0.59799999999999998</v>
      </c>
      <c r="M10" s="10">
        <v>3.5805999999999996</v>
      </c>
      <c r="N10" s="10">
        <v>3.6154000000000002</v>
      </c>
      <c r="O10" s="10">
        <f t="shared" si="0"/>
        <v>2.9875999999999996</v>
      </c>
      <c r="P10" s="10">
        <f t="shared" si="0"/>
        <v>3.0174000000000003</v>
      </c>
      <c r="Q10" s="10">
        <f t="shared" si="1"/>
        <v>3.0024999999999999</v>
      </c>
      <c r="R10" s="7">
        <f t="shared" si="2"/>
        <v>1.6083775983132524</v>
      </c>
      <c r="S10" s="7">
        <f t="shared" si="3"/>
        <v>550.54765190262628</v>
      </c>
      <c r="T10" s="7">
        <f t="shared" si="4"/>
        <v>231.23001379910303</v>
      </c>
      <c r="V10" s="11">
        <f t="shared" si="5"/>
        <v>0.46246002759820609</v>
      </c>
      <c r="W10" s="7"/>
      <c r="X10" s="7"/>
    </row>
    <row r="11" spans="1:24" s="10" customFormat="1" ht="15.75" x14ac:dyDescent="0.25">
      <c r="A11" s="16">
        <v>20230822</v>
      </c>
      <c r="B11" s="7" t="s">
        <v>26</v>
      </c>
      <c r="C11" s="7">
        <v>2</v>
      </c>
      <c r="D11" s="7" t="s">
        <v>30</v>
      </c>
      <c r="E11" s="7" t="s">
        <v>42</v>
      </c>
      <c r="F11" s="10" t="s">
        <v>19</v>
      </c>
      <c r="G11" s="7" t="s">
        <v>21</v>
      </c>
      <c r="H11" s="10">
        <v>10</v>
      </c>
      <c r="I11" s="10">
        <v>0.25</v>
      </c>
      <c r="J11" s="10">
        <v>0.11</v>
      </c>
      <c r="K11" s="10">
        <v>0.42599999999999999</v>
      </c>
      <c r="L11" s="10">
        <v>0.438</v>
      </c>
      <c r="M11" s="10">
        <v>2.4346000000000005</v>
      </c>
      <c r="N11" s="10">
        <v>2.5661999999999998</v>
      </c>
      <c r="O11" s="10">
        <f t="shared" si="0"/>
        <v>2.0086000000000004</v>
      </c>
      <c r="P11" s="10">
        <f t="shared" si="0"/>
        <v>2.1281999999999996</v>
      </c>
      <c r="Q11" s="10">
        <f t="shared" si="1"/>
        <v>2.0684</v>
      </c>
      <c r="R11" s="7">
        <f t="shared" si="2"/>
        <v>1.107999408609869</v>
      </c>
      <c r="S11" s="7">
        <f t="shared" si="3"/>
        <v>379.26819756715815</v>
      </c>
      <c r="T11" s="7">
        <f t="shared" si="4"/>
        <v>159.29264297820643</v>
      </c>
      <c r="V11" s="11">
        <f t="shared" si="5"/>
        <v>0.31858528595641283</v>
      </c>
      <c r="W11" s="7"/>
      <c r="X11" s="7"/>
    </row>
    <row r="12" spans="1:24" s="10" customFormat="1" ht="15.75" x14ac:dyDescent="0.25">
      <c r="A12" s="16">
        <v>20230822</v>
      </c>
      <c r="B12" s="7" t="s">
        <v>26</v>
      </c>
      <c r="C12" s="7">
        <v>2</v>
      </c>
      <c r="D12" s="7" t="s">
        <v>30</v>
      </c>
      <c r="E12" s="7" t="s">
        <v>40</v>
      </c>
      <c r="F12" s="10" t="s">
        <v>27</v>
      </c>
      <c r="G12" s="7" t="s">
        <v>21</v>
      </c>
      <c r="H12" s="10">
        <v>10</v>
      </c>
      <c r="I12" s="10">
        <v>0.25</v>
      </c>
      <c r="J12" s="10">
        <v>0.11</v>
      </c>
      <c r="K12" s="10">
        <v>0.371</v>
      </c>
      <c r="L12" s="10">
        <v>0.376</v>
      </c>
      <c r="M12" s="10">
        <v>2.7595999999999998</v>
      </c>
      <c r="N12" s="10">
        <v>2.7988</v>
      </c>
      <c r="O12" s="10">
        <f t="shared" si="0"/>
        <v>2.3885999999999998</v>
      </c>
      <c r="P12" s="10">
        <f t="shared" si="0"/>
        <v>2.4228000000000001</v>
      </c>
      <c r="Q12" s="10">
        <f t="shared" si="1"/>
        <v>2.4056999999999999</v>
      </c>
      <c r="R12" s="7">
        <f t="shared" si="2"/>
        <v>1.2886840926768333</v>
      </c>
      <c r="S12" s="7">
        <f t="shared" si="3"/>
        <v>441.11656492328007</v>
      </c>
      <c r="T12" s="7">
        <f t="shared" si="4"/>
        <v>185.26895726777761</v>
      </c>
      <c r="V12" s="11">
        <f t="shared" si="5"/>
        <v>0.37053791453555524</v>
      </c>
      <c r="W12" s="7"/>
      <c r="X12" s="7"/>
    </row>
    <row r="13" spans="1:24" s="10" customFormat="1" ht="15.75" x14ac:dyDescent="0.25">
      <c r="A13" s="16">
        <v>20230823</v>
      </c>
      <c r="B13" s="7" t="s">
        <v>26</v>
      </c>
      <c r="C13" s="7">
        <v>3</v>
      </c>
      <c r="D13" s="7" t="s">
        <v>30</v>
      </c>
      <c r="E13" s="7" t="s">
        <v>40</v>
      </c>
      <c r="F13" s="10" t="s">
        <v>27</v>
      </c>
      <c r="G13" s="7" t="s">
        <v>21</v>
      </c>
      <c r="H13" s="10">
        <v>10</v>
      </c>
      <c r="I13" s="10">
        <v>0.25</v>
      </c>
      <c r="J13" s="10">
        <v>0.11</v>
      </c>
      <c r="K13" s="10">
        <v>0.51400000000000001</v>
      </c>
      <c r="L13" s="10">
        <v>0.52</v>
      </c>
      <c r="M13" s="10">
        <v>2.7857999999999996</v>
      </c>
      <c r="N13" s="10">
        <v>2.8122000000000003</v>
      </c>
      <c r="O13" s="10">
        <f t="shared" si="0"/>
        <v>2.2717999999999998</v>
      </c>
      <c r="P13" s="10">
        <f t="shared" si="0"/>
        <v>2.2922000000000002</v>
      </c>
      <c r="Q13" s="10">
        <f t="shared" si="1"/>
        <v>2.282</v>
      </c>
      <c r="R13" s="7">
        <f t="shared" si="2"/>
        <v>1.2224205426647268</v>
      </c>
      <c r="S13" s="7">
        <f t="shared" si="3"/>
        <v>418.43455175413601</v>
      </c>
      <c r="T13" s="7">
        <f t="shared" si="4"/>
        <v>175.74251173673713</v>
      </c>
      <c r="V13" s="11">
        <f t="shared" si="5"/>
        <v>0.35148502347347427</v>
      </c>
      <c r="W13" s="7"/>
      <c r="X13" s="7"/>
    </row>
    <row r="14" spans="1:24" s="10" customFormat="1" ht="15.75" x14ac:dyDescent="0.25">
      <c r="A14" s="16">
        <v>20230823</v>
      </c>
      <c r="B14" s="7" t="s">
        <v>26</v>
      </c>
      <c r="C14" s="7">
        <v>3</v>
      </c>
      <c r="D14" s="7" t="s">
        <v>30</v>
      </c>
      <c r="E14" s="7" t="s">
        <v>42</v>
      </c>
      <c r="F14" s="10" t="s">
        <v>27</v>
      </c>
      <c r="G14" s="7" t="s">
        <v>21</v>
      </c>
      <c r="H14" s="10">
        <v>10</v>
      </c>
      <c r="I14" s="10">
        <v>0.25</v>
      </c>
      <c r="J14" s="10">
        <v>0.11</v>
      </c>
      <c r="K14" s="10">
        <v>0.47299999999999998</v>
      </c>
      <c r="L14" s="10">
        <v>0.47799999999999998</v>
      </c>
      <c r="M14" s="10">
        <v>2.2852000000000001</v>
      </c>
      <c r="N14" s="10">
        <v>2.2822</v>
      </c>
      <c r="O14" s="10">
        <f t="shared" si="0"/>
        <v>1.8122000000000003</v>
      </c>
      <c r="P14" s="10">
        <f t="shared" si="0"/>
        <v>1.8042</v>
      </c>
      <c r="Q14" s="10">
        <f t="shared" si="1"/>
        <v>1.8082000000000003</v>
      </c>
      <c r="R14" s="7">
        <f t="shared" si="2"/>
        <v>0.96861561141382957</v>
      </c>
      <c r="S14" s="7">
        <f t="shared" si="3"/>
        <v>331.55712378695387</v>
      </c>
      <c r="T14" s="7">
        <f t="shared" si="4"/>
        <v>139.25399199052063</v>
      </c>
      <c r="V14" s="11">
        <f t="shared" si="5"/>
        <v>0.27850798398104126</v>
      </c>
      <c r="W14" s="7"/>
      <c r="X14" s="7"/>
    </row>
    <row r="15" spans="1:24" s="10" customFormat="1" x14ac:dyDescent="0.25"/>
  </sheetData>
  <conditionalFormatting sqref="O1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topLeftCell="A13" zoomScale="150" zoomScaleNormal="150" workbookViewId="0">
      <pane xSplit="1" topLeftCell="I1" activePane="topRight" state="frozen"/>
      <selection pane="topRight" activeCell="B1" sqref="B1"/>
    </sheetView>
  </sheetViews>
  <sheetFormatPr defaultRowHeight="15" x14ac:dyDescent="0.25"/>
  <sheetData>
    <row r="1" spans="1:15" ht="15.75" x14ac:dyDescent="0.25">
      <c r="A1" s="28" t="s">
        <v>45</v>
      </c>
      <c r="B1" s="6" t="s">
        <v>1</v>
      </c>
      <c r="C1" s="6" t="s">
        <v>4</v>
      </c>
      <c r="D1" s="6" t="s">
        <v>5</v>
      </c>
      <c r="E1" s="6" t="s">
        <v>6</v>
      </c>
      <c r="F1" s="6" t="s">
        <v>7</v>
      </c>
      <c r="G1" s="6" t="s">
        <v>8</v>
      </c>
      <c r="H1" s="6" t="s">
        <v>9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35</v>
      </c>
      <c r="N1" s="1" t="s">
        <v>36</v>
      </c>
      <c r="O1" s="2" t="s">
        <v>44</v>
      </c>
    </row>
    <row r="2" spans="1:15" ht="15.75" x14ac:dyDescent="0.25">
      <c r="A2" t="s">
        <v>46</v>
      </c>
      <c r="B2" s="10">
        <v>10</v>
      </c>
      <c r="C2" s="10">
        <v>0.25</v>
      </c>
      <c r="D2" s="10">
        <v>0.11</v>
      </c>
      <c r="E2">
        <v>0.63300000000000001</v>
      </c>
      <c r="F2">
        <v>0.66</v>
      </c>
      <c r="G2">
        <v>3.5712000000000002</v>
      </c>
      <c r="H2">
        <v>3.3701999999999996</v>
      </c>
      <c r="I2" s="10">
        <f>G2-E2</f>
        <v>2.9382000000000001</v>
      </c>
      <c r="J2" s="10">
        <f>H2-F2</f>
        <v>2.7101999999999995</v>
      </c>
      <c r="K2" s="10">
        <f>AVERAGE(I2:J2)</f>
        <v>2.8241999999999998</v>
      </c>
      <c r="L2" s="7">
        <f>K2/4.2427*C2/D2</f>
        <v>1.5128659494275727</v>
      </c>
      <c r="M2" s="7">
        <f>L2*342.3</f>
        <v>517.85401448905816</v>
      </c>
      <c r="N2" s="7">
        <f>M2*0.42</f>
        <v>217.49868608540442</v>
      </c>
      <c r="O2" s="11">
        <f>M2*2/1000</f>
        <v>1.0357080289781164</v>
      </c>
    </row>
    <row r="3" spans="1:15" ht="15.75" x14ac:dyDescent="0.25">
      <c r="A3" t="s">
        <v>47</v>
      </c>
      <c r="B3" s="10">
        <v>10</v>
      </c>
      <c r="C3" s="10">
        <v>0.25</v>
      </c>
      <c r="D3" s="10">
        <v>0.11</v>
      </c>
      <c r="E3">
        <v>0.53</v>
      </c>
      <c r="F3">
        <v>0.53700000000000003</v>
      </c>
      <c r="G3">
        <v>3.5289999999999999</v>
      </c>
      <c r="H3">
        <v>3.4793999999999996</v>
      </c>
      <c r="I3" s="10">
        <f t="shared" ref="I3:I31" si="0">G3-E3</f>
        <v>2.9989999999999997</v>
      </c>
      <c r="J3" s="10">
        <f t="shared" ref="J3:J31" si="1">H3-F3</f>
        <v>2.9423999999999997</v>
      </c>
      <c r="K3" s="10">
        <f t="shared" ref="K3:K31" si="2">AVERAGE(I3:J3)</f>
        <v>2.9706999999999999</v>
      </c>
      <c r="L3" s="7">
        <f t="shared" ref="L3:L31" si="3">K3/4.2427*C3/D3</f>
        <v>1.5913429912769954</v>
      </c>
      <c r="M3" s="7">
        <f t="shared" ref="M3:M31" si="4">L3*342.3</f>
        <v>544.71670591411555</v>
      </c>
      <c r="N3" s="7">
        <f t="shared" ref="N3:N31" si="5">M3*0.42</f>
        <v>228.78101648392851</v>
      </c>
      <c r="O3" s="11">
        <f t="shared" ref="O3:O31" si="6">M3*2/1000</f>
        <v>1.0894334118282312</v>
      </c>
    </row>
    <row r="4" spans="1:15" ht="15.75" x14ac:dyDescent="0.25">
      <c r="A4" t="s">
        <v>48</v>
      </c>
      <c r="B4" s="10">
        <v>10</v>
      </c>
      <c r="C4" s="10">
        <v>0.25</v>
      </c>
      <c r="D4" s="10">
        <v>0.11</v>
      </c>
      <c r="E4">
        <v>0.48299999999999998</v>
      </c>
      <c r="F4">
        <v>0.49399999999999999</v>
      </c>
      <c r="G4">
        <v>3.5149999999999997</v>
      </c>
      <c r="H4">
        <v>3.5443999999999996</v>
      </c>
      <c r="I4" s="10">
        <f t="shared" si="0"/>
        <v>3.0319999999999996</v>
      </c>
      <c r="J4" s="10">
        <f t="shared" si="1"/>
        <v>3.0503999999999998</v>
      </c>
      <c r="K4" s="10">
        <f t="shared" si="2"/>
        <v>3.0411999999999999</v>
      </c>
      <c r="L4" s="7">
        <f t="shared" si="3"/>
        <v>1.6291083936686972</v>
      </c>
      <c r="M4" s="7">
        <f t="shared" si="4"/>
        <v>557.64380315279504</v>
      </c>
      <c r="N4" s="7">
        <f t="shared" si="5"/>
        <v>234.2103973241739</v>
      </c>
      <c r="O4" s="11">
        <f t="shared" si="6"/>
        <v>1.1152876063055901</v>
      </c>
    </row>
    <row r="5" spans="1:15" ht="15.75" x14ac:dyDescent="0.25">
      <c r="A5" t="s">
        <v>49</v>
      </c>
      <c r="B5" s="10">
        <v>10</v>
      </c>
      <c r="C5" s="10">
        <v>0.25</v>
      </c>
      <c r="D5" s="10">
        <v>0.11</v>
      </c>
      <c r="E5">
        <v>0.627</v>
      </c>
      <c r="F5">
        <v>0.63300000000000001</v>
      </c>
      <c r="G5">
        <v>3.5209999999999995</v>
      </c>
      <c r="H5">
        <v>3.5446</v>
      </c>
      <c r="I5" s="10">
        <f t="shared" si="0"/>
        <v>2.8939999999999992</v>
      </c>
      <c r="J5" s="10">
        <f t="shared" si="1"/>
        <v>2.9116</v>
      </c>
      <c r="K5" s="10">
        <f t="shared" si="2"/>
        <v>2.9027999999999996</v>
      </c>
      <c r="L5" s="7">
        <f t="shared" si="3"/>
        <v>1.554970355498321</v>
      </c>
      <c r="M5" s="7">
        <f t="shared" si="4"/>
        <v>532.26635268707525</v>
      </c>
      <c r="N5" s="7">
        <f t="shared" si="5"/>
        <v>223.55186812857161</v>
      </c>
      <c r="O5" s="11">
        <f t="shared" si="6"/>
        <v>1.0645327053741505</v>
      </c>
    </row>
    <row r="6" spans="1:15" ht="15.75" x14ac:dyDescent="0.25">
      <c r="A6" t="s">
        <v>50</v>
      </c>
      <c r="B6" s="10">
        <v>10</v>
      </c>
      <c r="C6" s="10">
        <v>0.25</v>
      </c>
      <c r="D6" s="10">
        <v>0.11</v>
      </c>
      <c r="E6">
        <v>0.73799999999999999</v>
      </c>
      <c r="F6">
        <v>0.72799999999999998</v>
      </c>
      <c r="G6">
        <v>3.5805999999999996</v>
      </c>
      <c r="H6">
        <v>3.5902000000000003</v>
      </c>
      <c r="I6" s="10">
        <f t="shared" si="0"/>
        <v>2.8425999999999996</v>
      </c>
      <c r="J6" s="10">
        <f t="shared" si="1"/>
        <v>2.8622000000000005</v>
      </c>
      <c r="K6" s="10">
        <f t="shared" si="2"/>
        <v>2.8524000000000003</v>
      </c>
      <c r="L6" s="7">
        <f t="shared" si="3"/>
        <v>1.5279721103842536</v>
      </c>
      <c r="M6" s="7">
        <f t="shared" si="4"/>
        <v>523.02485338453005</v>
      </c>
      <c r="N6" s="7">
        <f t="shared" si="5"/>
        <v>219.67043842150261</v>
      </c>
      <c r="O6" s="11">
        <f t="shared" si="6"/>
        <v>1.0460497067690602</v>
      </c>
    </row>
    <row r="7" spans="1:15" ht="15.75" x14ac:dyDescent="0.25">
      <c r="A7" t="s">
        <v>51</v>
      </c>
      <c r="B7" s="10">
        <v>10</v>
      </c>
      <c r="C7" s="10">
        <v>0.25</v>
      </c>
      <c r="D7" s="10">
        <v>0.11</v>
      </c>
      <c r="E7">
        <v>0.60299999999999998</v>
      </c>
      <c r="F7">
        <v>0.60499999999999998</v>
      </c>
      <c r="G7">
        <v>3.5331999999999999</v>
      </c>
      <c r="H7">
        <v>3.5606</v>
      </c>
      <c r="I7" s="10">
        <f t="shared" si="0"/>
        <v>2.9302000000000001</v>
      </c>
      <c r="J7" s="10">
        <f t="shared" si="1"/>
        <v>2.9556</v>
      </c>
      <c r="K7" s="10">
        <f t="shared" si="2"/>
        <v>2.9428999999999998</v>
      </c>
      <c r="L7" s="7">
        <f t="shared" si="3"/>
        <v>1.5764511021069345</v>
      </c>
      <c r="M7" s="7">
        <f t="shared" si="4"/>
        <v>539.61921225120375</v>
      </c>
      <c r="N7" s="7">
        <f t="shared" si="5"/>
        <v>226.64006914550558</v>
      </c>
      <c r="O7" s="11">
        <f t="shared" si="6"/>
        <v>1.0792384245024076</v>
      </c>
    </row>
    <row r="8" spans="1:15" ht="15.75" x14ac:dyDescent="0.25">
      <c r="A8" t="s">
        <v>52</v>
      </c>
      <c r="B8" s="10">
        <v>10</v>
      </c>
      <c r="C8" s="10">
        <v>0.25</v>
      </c>
      <c r="D8" s="10">
        <v>0.11</v>
      </c>
      <c r="E8">
        <v>0.51300000000000001</v>
      </c>
      <c r="F8">
        <v>0.51300000000000001</v>
      </c>
      <c r="G8">
        <v>3.0232000000000001</v>
      </c>
      <c r="H8">
        <v>3.0766</v>
      </c>
      <c r="I8" s="10">
        <f t="shared" si="0"/>
        <v>2.5102000000000002</v>
      </c>
      <c r="J8" s="10">
        <f t="shared" si="1"/>
        <v>2.5636000000000001</v>
      </c>
      <c r="K8" s="10">
        <f t="shared" si="2"/>
        <v>2.5369000000000002</v>
      </c>
      <c r="L8" s="7">
        <f t="shared" si="3"/>
        <v>1.3589652386880569</v>
      </c>
      <c r="M8" s="7">
        <f t="shared" si="4"/>
        <v>465.17380120292188</v>
      </c>
      <c r="N8" s="7">
        <f t="shared" si="5"/>
        <v>195.37299650522718</v>
      </c>
      <c r="O8" s="11">
        <f t="shared" si="6"/>
        <v>0.9303476024058438</v>
      </c>
    </row>
    <row r="9" spans="1:15" ht="15.75" x14ac:dyDescent="0.25">
      <c r="A9" t="s">
        <v>53</v>
      </c>
      <c r="B9" s="10">
        <v>10</v>
      </c>
      <c r="C9" s="10">
        <v>0.25</v>
      </c>
      <c r="D9" s="10">
        <v>0.11</v>
      </c>
      <c r="E9">
        <v>0.74299999999999999</v>
      </c>
      <c r="F9">
        <v>0.76400000000000001</v>
      </c>
      <c r="G9">
        <v>3.6092</v>
      </c>
      <c r="H9">
        <v>3.6234000000000002</v>
      </c>
      <c r="I9" s="10">
        <f t="shared" si="0"/>
        <v>2.8662000000000001</v>
      </c>
      <c r="J9" s="10">
        <f t="shared" si="1"/>
        <v>2.8593999999999999</v>
      </c>
      <c r="K9" s="10">
        <f t="shared" si="2"/>
        <v>2.8628</v>
      </c>
      <c r="L9" s="7">
        <f t="shared" si="3"/>
        <v>1.5335431768363628</v>
      </c>
      <c r="M9" s="7">
        <f t="shared" si="4"/>
        <v>524.93182943108695</v>
      </c>
      <c r="N9" s="7">
        <f t="shared" si="5"/>
        <v>220.47136836105651</v>
      </c>
      <c r="O9" s="11">
        <f t="shared" si="6"/>
        <v>1.0498636588621739</v>
      </c>
    </row>
    <row r="10" spans="1:15" ht="15.75" x14ac:dyDescent="0.25">
      <c r="A10" t="s">
        <v>54</v>
      </c>
      <c r="B10" s="10">
        <v>10</v>
      </c>
      <c r="C10" s="10">
        <v>0.25</v>
      </c>
      <c r="D10" s="10">
        <v>0.11</v>
      </c>
      <c r="E10">
        <v>1.179</v>
      </c>
      <c r="F10">
        <v>1.214</v>
      </c>
      <c r="G10">
        <v>3.71</v>
      </c>
      <c r="H10">
        <v>3.7058</v>
      </c>
      <c r="I10" s="10">
        <f t="shared" si="0"/>
        <v>2.5309999999999997</v>
      </c>
      <c r="J10" s="10">
        <f t="shared" si="1"/>
        <v>2.4918</v>
      </c>
      <c r="K10" s="10">
        <f t="shared" si="2"/>
        <v>2.5114000000000001</v>
      </c>
      <c r="L10" s="7">
        <f t="shared" si="3"/>
        <v>1.3453054122910584</v>
      </c>
      <c r="M10" s="7">
        <f t="shared" si="4"/>
        <v>460.49804262722932</v>
      </c>
      <c r="N10" s="7">
        <f t="shared" si="5"/>
        <v>193.4091779034363</v>
      </c>
      <c r="O10" s="11">
        <f t="shared" si="6"/>
        <v>0.92099608525445864</v>
      </c>
    </row>
    <row r="11" spans="1:15" ht="15.75" x14ac:dyDescent="0.25">
      <c r="A11" t="s">
        <v>55</v>
      </c>
      <c r="B11" s="10">
        <v>10</v>
      </c>
      <c r="C11" s="10">
        <v>0.25</v>
      </c>
      <c r="D11" s="10">
        <v>0.11</v>
      </c>
      <c r="E11">
        <v>0.876</v>
      </c>
      <c r="F11">
        <v>0.88800000000000001</v>
      </c>
      <c r="G11">
        <v>3.6414</v>
      </c>
      <c r="H11">
        <v>3.6396000000000002</v>
      </c>
      <c r="I11" s="10">
        <f t="shared" si="0"/>
        <v>2.7654000000000001</v>
      </c>
      <c r="J11" s="10">
        <f t="shared" si="1"/>
        <v>2.7516000000000003</v>
      </c>
      <c r="K11" s="10">
        <f t="shared" si="2"/>
        <v>2.7585000000000002</v>
      </c>
      <c r="L11" s="7">
        <f t="shared" si="3"/>
        <v>1.4776718084753062</v>
      </c>
      <c r="M11" s="7">
        <f t="shared" si="4"/>
        <v>505.80706004109732</v>
      </c>
      <c r="N11" s="7">
        <f t="shared" si="5"/>
        <v>212.43896521726086</v>
      </c>
      <c r="O11" s="11">
        <f t="shared" si="6"/>
        <v>1.0116141200821946</v>
      </c>
    </row>
    <row r="12" spans="1:15" ht="15.75" x14ac:dyDescent="0.25">
      <c r="A12" t="s">
        <v>56</v>
      </c>
      <c r="B12" s="10">
        <v>10</v>
      </c>
      <c r="C12" s="10">
        <v>0.25</v>
      </c>
      <c r="D12" s="10">
        <v>0.11</v>
      </c>
      <c r="E12">
        <v>0.88200000000000001</v>
      </c>
      <c r="F12">
        <v>0.90700000000000003</v>
      </c>
      <c r="G12">
        <v>3.6309999999999993</v>
      </c>
      <c r="H12">
        <v>3.6260000000000003</v>
      </c>
      <c r="I12" s="10">
        <f t="shared" si="0"/>
        <v>2.7489999999999992</v>
      </c>
      <c r="J12" s="10">
        <f t="shared" si="1"/>
        <v>2.7190000000000003</v>
      </c>
      <c r="K12" s="10">
        <f t="shared" si="2"/>
        <v>2.734</v>
      </c>
      <c r="L12" s="7">
        <f t="shared" si="3"/>
        <v>1.4645476615448567</v>
      </c>
      <c r="M12" s="7">
        <f t="shared" si="4"/>
        <v>501.31466454680447</v>
      </c>
      <c r="N12" s="7">
        <f t="shared" si="5"/>
        <v>210.55215910965788</v>
      </c>
      <c r="O12" s="11">
        <f t="shared" si="6"/>
        <v>1.002629329093609</v>
      </c>
    </row>
    <row r="13" spans="1:15" ht="15.75" x14ac:dyDescent="0.25">
      <c r="A13" t="s">
        <v>57</v>
      </c>
      <c r="B13" s="10">
        <v>10</v>
      </c>
      <c r="C13" s="10">
        <v>0.25</v>
      </c>
      <c r="D13" s="10">
        <v>0.11</v>
      </c>
      <c r="E13">
        <v>0.71499999999999997</v>
      </c>
      <c r="F13">
        <v>0.72499999999999998</v>
      </c>
      <c r="G13">
        <v>3.5634000000000001</v>
      </c>
      <c r="H13">
        <v>3.5705999999999998</v>
      </c>
      <c r="I13" s="10">
        <f t="shared" si="0"/>
        <v>2.8484000000000003</v>
      </c>
      <c r="J13" s="10">
        <f t="shared" si="1"/>
        <v>2.8455999999999997</v>
      </c>
      <c r="K13" s="10">
        <f t="shared" si="2"/>
        <v>2.847</v>
      </c>
      <c r="L13" s="7">
        <f t="shared" si="3"/>
        <v>1.5250794412648891</v>
      </c>
      <c r="M13" s="7">
        <f t="shared" si="4"/>
        <v>522.03469274497161</v>
      </c>
      <c r="N13" s="7">
        <f t="shared" si="5"/>
        <v>219.25457095288806</v>
      </c>
      <c r="O13" s="11">
        <f t="shared" si="6"/>
        <v>1.0440693854899432</v>
      </c>
    </row>
    <row r="14" spans="1:15" ht="15.75" x14ac:dyDescent="0.25">
      <c r="A14" t="s">
        <v>58</v>
      </c>
      <c r="B14" s="10">
        <v>10</v>
      </c>
      <c r="C14" s="10">
        <v>0.25</v>
      </c>
      <c r="D14" s="10">
        <v>0.11</v>
      </c>
      <c r="E14">
        <v>0.98299999999999998</v>
      </c>
      <c r="F14">
        <v>0.98899999999999999</v>
      </c>
      <c r="G14">
        <v>3.6474000000000002</v>
      </c>
      <c r="H14">
        <v>3.6471999999999993</v>
      </c>
      <c r="I14" s="10">
        <f t="shared" si="0"/>
        <v>2.6644000000000001</v>
      </c>
      <c r="J14" s="10">
        <f t="shared" si="1"/>
        <v>2.6581999999999995</v>
      </c>
      <c r="K14" s="10">
        <f t="shared" si="2"/>
        <v>2.6612999999999998</v>
      </c>
      <c r="L14" s="7">
        <f t="shared" si="3"/>
        <v>1.4256037643267472</v>
      </c>
      <c r="M14" s="7">
        <f t="shared" si="4"/>
        <v>487.98416852904558</v>
      </c>
      <c r="N14" s="7">
        <f t="shared" si="5"/>
        <v>204.95335078219912</v>
      </c>
      <c r="O14" s="11">
        <f t="shared" si="6"/>
        <v>0.97596833705809116</v>
      </c>
    </row>
    <row r="15" spans="1:15" ht="15.75" x14ac:dyDescent="0.25">
      <c r="A15" t="s">
        <v>59</v>
      </c>
      <c r="B15" s="10">
        <v>10</v>
      </c>
      <c r="C15" s="10">
        <v>0.25</v>
      </c>
      <c r="D15" s="10">
        <v>0.11</v>
      </c>
      <c r="E15">
        <v>0.624</v>
      </c>
      <c r="F15">
        <v>0.63300000000000001</v>
      </c>
      <c r="G15">
        <v>3.5406</v>
      </c>
      <c r="H15">
        <v>3.5480000000000005</v>
      </c>
      <c r="I15" s="10">
        <f t="shared" si="0"/>
        <v>2.9165999999999999</v>
      </c>
      <c r="J15" s="10">
        <f t="shared" si="1"/>
        <v>2.9150000000000005</v>
      </c>
      <c r="K15" s="10">
        <f t="shared" si="2"/>
        <v>2.9157999999999999</v>
      </c>
      <c r="L15" s="7">
        <f t="shared" si="3"/>
        <v>1.5619341885634577</v>
      </c>
      <c r="M15" s="7">
        <f t="shared" si="4"/>
        <v>534.65007274527159</v>
      </c>
      <c r="N15" s="7">
        <f t="shared" si="5"/>
        <v>224.55303055301405</v>
      </c>
      <c r="O15" s="11">
        <f t="shared" si="6"/>
        <v>1.0693001454905431</v>
      </c>
    </row>
    <row r="16" spans="1:15" ht="15.75" x14ac:dyDescent="0.25">
      <c r="A16" t="s">
        <v>60</v>
      </c>
      <c r="B16" s="10">
        <v>10</v>
      </c>
      <c r="C16" s="10">
        <v>0.25</v>
      </c>
      <c r="D16" s="10">
        <v>0.11</v>
      </c>
      <c r="E16">
        <v>0.47499999999999998</v>
      </c>
      <c r="F16">
        <v>0.48</v>
      </c>
      <c r="G16">
        <v>3.4506000000000001</v>
      </c>
      <c r="H16">
        <v>3.4576000000000002</v>
      </c>
      <c r="I16" s="10">
        <f t="shared" si="0"/>
        <v>2.9756</v>
      </c>
      <c r="J16" s="10">
        <f t="shared" si="1"/>
        <v>2.9776000000000002</v>
      </c>
      <c r="K16" s="10">
        <f t="shared" si="2"/>
        <v>2.9766000000000004</v>
      </c>
      <c r="L16" s="7">
        <f t="shared" si="3"/>
        <v>1.5945035001296346</v>
      </c>
      <c r="M16" s="7">
        <f t="shared" si="4"/>
        <v>545.79854809437393</v>
      </c>
      <c r="N16" s="7">
        <f t="shared" si="5"/>
        <v>229.23539019963704</v>
      </c>
      <c r="O16" s="11">
        <f t="shared" si="6"/>
        <v>1.0915970961887478</v>
      </c>
    </row>
    <row r="17" spans="1:15" ht="15.75" x14ac:dyDescent="0.25">
      <c r="A17" t="s">
        <v>61</v>
      </c>
      <c r="B17" s="10">
        <v>10</v>
      </c>
      <c r="C17" s="10">
        <v>0.25</v>
      </c>
      <c r="D17" s="10">
        <v>0.11</v>
      </c>
      <c r="E17">
        <v>0.83499999999999996</v>
      </c>
      <c r="F17">
        <v>0.86399999999999999</v>
      </c>
      <c r="G17">
        <v>3.6208</v>
      </c>
      <c r="H17">
        <v>3.6162000000000001</v>
      </c>
      <c r="I17" s="10">
        <f t="shared" si="0"/>
        <v>2.7858000000000001</v>
      </c>
      <c r="J17" s="10">
        <f t="shared" si="1"/>
        <v>2.7522000000000002</v>
      </c>
      <c r="K17" s="10">
        <f t="shared" si="2"/>
        <v>2.7690000000000001</v>
      </c>
      <c r="L17" s="7">
        <f t="shared" si="3"/>
        <v>1.4832964428740703</v>
      </c>
      <c r="M17" s="7">
        <f t="shared" si="4"/>
        <v>507.73237239579424</v>
      </c>
      <c r="N17" s="7">
        <f t="shared" si="5"/>
        <v>213.24759640623358</v>
      </c>
      <c r="O17" s="11">
        <f t="shared" si="6"/>
        <v>1.0154647447915885</v>
      </c>
    </row>
    <row r="18" spans="1:15" ht="15.75" x14ac:dyDescent="0.25">
      <c r="A18" t="s">
        <v>62</v>
      </c>
      <c r="B18" s="10">
        <v>10</v>
      </c>
      <c r="C18" s="10">
        <v>0.25</v>
      </c>
      <c r="D18" s="10">
        <v>0.11</v>
      </c>
      <c r="E18">
        <v>0.58199999999999996</v>
      </c>
      <c r="F18">
        <v>0.58699999999999997</v>
      </c>
      <c r="G18">
        <v>3.5344000000000002</v>
      </c>
      <c r="H18">
        <v>3.5483999999999996</v>
      </c>
      <c r="I18" s="10">
        <f t="shared" si="0"/>
        <v>2.9524000000000004</v>
      </c>
      <c r="J18" s="10">
        <f t="shared" si="1"/>
        <v>2.9613999999999994</v>
      </c>
      <c r="K18" s="10">
        <f t="shared" si="2"/>
        <v>2.9569000000000001</v>
      </c>
      <c r="L18" s="7">
        <f t="shared" si="3"/>
        <v>1.58395061463862</v>
      </c>
      <c r="M18" s="7">
        <f t="shared" si="4"/>
        <v>542.18629539079961</v>
      </c>
      <c r="N18" s="7">
        <f t="shared" si="5"/>
        <v>227.71824406413583</v>
      </c>
      <c r="O18" s="11">
        <f t="shared" si="6"/>
        <v>1.0843725907815993</v>
      </c>
    </row>
    <row r="19" spans="1:15" ht="15.75" x14ac:dyDescent="0.25">
      <c r="A19" t="s">
        <v>63</v>
      </c>
      <c r="B19" s="10">
        <v>10</v>
      </c>
      <c r="C19" s="10">
        <v>0.25</v>
      </c>
      <c r="D19" s="10">
        <v>0.11</v>
      </c>
      <c r="E19">
        <v>0.48599999999999999</v>
      </c>
      <c r="F19">
        <v>0.48</v>
      </c>
      <c r="G19">
        <v>3.5043999999999995</v>
      </c>
      <c r="H19">
        <v>3.4979999999999998</v>
      </c>
      <c r="I19" s="10">
        <f t="shared" si="0"/>
        <v>3.0183999999999997</v>
      </c>
      <c r="J19" s="10">
        <f t="shared" si="1"/>
        <v>3.0179999999999998</v>
      </c>
      <c r="K19" s="10">
        <f t="shared" si="2"/>
        <v>3.0181999999999998</v>
      </c>
      <c r="L19" s="7">
        <f t="shared" si="3"/>
        <v>1.6167877659380709</v>
      </c>
      <c r="M19" s="7">
        <f t="shared" si="4"/>
        <v>553.42645228060167</v>
      </c>
      <c r="N19" s="7">
        <f t="shared" si="5"/>
        <v>232.43910995785268</v>
      </c>
      <c r="O19" s="11">
        <f t="shared" si="6"/>
        <v>1.1068529045612032</v>
      </c>
    </row>
    <row r="20" spans="1:15" ht="15.75" x14ac:dyDescent="0.25">
      <c r="A20" t="s">
        <v>64</v>
      </c>
      <c r="B20" s="10">
        <v>10</v>
      </c>
      <c r="C20" s="10">
        <v>0.25</v>
      </c>
      <c r="D20" s="10">
        <v>0.11</v>
      </c>
      <c r="E20">
        <v>0.41599999999999998</v>
      </c>
      <c r="F20">
        <v>0.41899999999999998</v>
      </c>
      <c r="G20">
        <v>2.9245999999999999</v>
      </c>
      <c r="H20">
        <v>2.9525999999999999</v>
      </c>
      <c r="I20" s="10">
        <f t="shared" si="0"/>
        <v>2.5085999999999999</v>
      </c>
      <c r="J20" s="10">
        <f t="shared" si="1"/>
        <v>2.5335999999999999</v>
      </c>
      <c r="K20" s="10">
        <f t="shared" si="2"/>
        <v>2.5210999999999997</v>
      </c>
      <c r="L20" s="7">
        <f t="shared" si="3"/>
        <v>1.3505015031165828</v>
      </c>
      <c r="M20" s="7">
        <f t="shared" si="4"/>
        <v>462.27666451680631</v>
      </c>
      <c r="N20" s="7">
        <f t="shared" si="5"/>
        <v>194.15619909705865</v>
      </c>
      <c r="O20" s="11">
        <f t="shared" si="6"/>
        <v>0.92455332903361265</v>
      </c>
    </row>
    <row r="21" spans="1:15" ht="15.75" x14ac:dyDescent="0.25">
      <c r="A21" t="s">
        <v>65</v>
      </c>
      <c r="B21" s="10">
        <v>10</v>
      </c>
      <c r="C21" s="10">
        <v>0.25</v>
      </c>
      <c r="D21" s="10">
        <v>0.11</v>
      </c>
      <c r="E21">
        <v>0.47799999999999998</v>
      </c>
      <c r="F21">
        <v>0.48299999999999998</v>
      </c>
      <c r="G21">
        <v>3.3792</v>
      </c>
      <c r="H21">
        <v>3.3909999999999996</v>
      </c>
      <c r="I21" s="10">
        <f t="shared" si="0"/>
        <v>2.9012000000000002</v>
      </c>
      <c r="J21" s="10">
        <f t="shared" si="1"/>
        <v>2.9079999999999995</v>
      </c>
      <c r="K21" s="10">
        <f t="shared" si="2"/>
        <v>2.9045999999999998</v>
      </c>
      <c r="L21" s="7">
        <f t="shared" si="3"/>
        <v>1.5559345785381091</v>
      </c>
      <c r="M21" s="7">
        <f t="shared" si="4"/>
        <v>532.59640623359473</v>
      </c>
      <c r="N21" s="7">
        <f t="shared" si="5"/>
        <v>223.69049061810978</v>
      </c>
      <c r="O21" s="11">
        <f t="shared" si="6"/>
        <v>1.0651928124671894</v>
      </c>
    </row>
    <row r="22" spans="1:15" ht="15.75" x14ac:dyDescent="0.25">
      <c r="A22" t="s">
        <v>66</v>
      </c>
      <c r="B22" s="10">
        <v>10</v>
      </c>
      <c r="C22" s="10">
        <v>0.25</v>
      </c>
      <c r="D22" s="10">
        <v>0.11</v>
      </c>
      <c r="E22">
        <v>0.54100000000000004</v>
      </c>
      <c r="F22">
        <v>0.57699999999999996</v>
      </c>
      <c r="G22">
        <v>3.4731999999999998</v>
      </c>
      <c r="H22">
        <v>3.4832000000000001</v>
      </c>
      <c r="I22" s="10">
        <f t="shared" si="0"/>
        <v>2.9321999999999999</v>
      </c>
      <c r="J22" s="10">
        <f t="shared" si="1"/>
        <v>2.9062000000000001</v>
      </c>
      <c r="K22" s="10">
        <f t="shared" si="2"/>
        <v>2.9192</v>
      </c>
      <c r="L22" s="7">
        <f t="shared" si="3"/>
        <v>1.5637554987497242</v>
      </c>
      <c r="M22" s="7">
        <f t="shared" si="4"/>
        <v>535.27350722203062</v>
      </c>
      <c r="N22" s="7">
        <f t="shared" si="5"/>
        <v>224.81487303325284</v>
      </c>
      <c r="O22" s="11">
        <f t="shared" si="6"/>
        <v>1.0705470144440612</v>
      </c>
    </row>
    <row r="23" spans="1:15" ht="15.75" x14ac:dyDescent="0.25">
      <c r="A23" t="s">
        <v>67</v>
      </c>
      <c r="B23" s="10">
        <v>10</v>
      </c>
      <c r="C23" s="10">
        <v>0.25</v>
      </c>
      <c r="D23" s="10">
        <v>0.11</v>
      </c>
      <c r="E23">
        <v>0.54400000000000004</v>
      </c>
      <c r="F23">
        <v>0.56799999999999995</v>
      </c>
      <c r="G23">
        <v>3.5182000000000002</v>
      </c>
      <c r="H23">
        <v>3.5356000000000001</v>
      </c>
      <c r="I23" s="10">
        <f t="shared" si="0"/>
        <v>2.9742000000000002</v>
      </c>
      <c r="J23" s="10">
        <f t="shared" si="1"/>
        <v>2.9676</v>
      </c>
      <c r="K23" s="10">
        <f t="shared" si="2"/>
        <v>2.9709000000000003</v>
      </c>
      <c r="L23" s="7">
        <f t="shared" si="3"/>
        <v>1.5914501271703054</v>
      </c>
      <c r="M23" s="7">
        <f t="shared" si="4"/>
        <v>544.75337853039559</v>
      </c>
      <c r="N23" s="7">
        <f t="shared" si="5"/>
        <v>228.79641898276614</v>
      </c>
      <c r="O23" s="11">
        <f t="shared" si="6"/>
        <v>1.0895067570607913</v>
      </c>
    </row>
    <row r="24" spans="1:15" ht="15.75" x14ac:dyDescent="0.25">
      <c r="A24" t="s">
        <v>68</v>
      </c>
      <c r="B24" s="10">
        <v>10</v>
      </c>
      <c r="C24" s="10">
        <v>0.25</v>
      </c>
      <c r="D24" s="10">
        <v>0.11</v>
      </c>
      <c r="E24">
        <v>0.502</v>
      </c>
      <c r="F24">
        <v>0.51</v>
      </c>
      <c r="G24">
        <v>3.2676000000000003</v>
      </c>
      <c r="H24">
        <v>3.28</v>
      </c>
      <c r="I24" s="10">
        <f t="shared" si="0"/>
        <v>2.7656000000000001</v>
      </c>
      <c r="J24" s="10">
        <f t="shared" si="1"/>
        <v>2.7699999999999996</v>
      </c>
      <c r="K24" s="10">
        <f t="shared" si="2"/>
        <v>2.7677999999999998</v>
      </c>
      <c r="L24" s="7">
        <f t="shared" si="3"/>
        <v>1.4826536275142115</v>
      </c>
      <c r="M24" s="7">
        <f t="shared" si="4"/>
        <v>507.51233669811461</v>
      </c>
      <c r="N24" s="7">
        <f t="shared" si="5"/>
        <v>213.15518141320814</v>
      </c>
      <c r="O24" s="11">
        <f t="shared" si="6"/>
        <v>1.0150246733962291</v>
      </c>
    </row>
    <row r="25" spans="1:15" ht="15.75" x14ac:dyDescent="0.25">
      <c r="A25" t="s">
        <v>69</v>
      </c>
      <c r="B25" s="10">
        <v>10</v>
      </c>
      <c r="C25" s="10">
        <v>0.25</v>
      </c>
      <c r="D25" s="10">
        <v>0.11</v>
      </c>
      <c r="E25">
        <v>0.621</v>
      </c>
      <c r="F25">
        <v>0.61299999999999999</v>
      </c>
      <c r="G25">
        <v>3.5632000000000006</v>
      </c>
      <c r="H25">
        <v>3.5585999999999998</v>
      </c>
      <c r="I25" s="10">
        <f t="shared" si="0"/>
        <v>2.9422000000000006</v>
      </c>
      <c r="J25" s="10">
        <f t="shared" si="1"/>
        <v>2.9455999999999998</v>
      </c>
      <c r="K25" s="10">
        <f t="shared" si="2"/>
        <v>2.9439000000000002</v>
      </c>
      <c r="L25" s="7">
        <f t="shared" si="3"/>
        <v>1.5769867815734833</v>
      </c>
      <c r="M25" s="7">
        <f t="shared" si="4"/>
        <v>539.80257533260328</v>
      </c>
      <c r="N25" s="7">
        <f t="shared" si="5"/>
        <v>226.71708163969336</v>
      </c>
      <c r="O25" s="11">
        <f t="shared" si="6"/>
        <v>1.0796051506652065</v>
      </c>
    </row>
    <row r="26" spans="1:15" ht="15.75" x14ac:dyDescent="0.25">
      <c r="A26" t="s">
        <v>70</v>
      </c>
      <c r="B26" s="10">
        <v>10</v>
      </c>
      <c r="C26" s="10">
        <v>0.25</v>
      </c>
      <c r="D26" s="10">
        <v>0.11</v>
      </c>
      <c r="E26">
        <v>0.55600000000000005</v>
      </c>
      <c r="F26">
        <v>0.57599999999999996</v>
      </c>
      <c r="G26">
        <v>3.4744000000000002</v>
      </c>
      <c r="H26">
        <v>3.4908000000000001</v>
      </c>
      <c r="I26" s="10">
        <f t="shared" si="0"/>
        <v>2.9184000000000001</v>
      </c>
      <c r="J26" s="10">
        <f t="shared" si="1"/>
        <v>2.9148000000000001</v>
      </c>
      <c r="K26" s="10">
        <f t="shared" si="2"/>
        <v>2.9165999999999999</v>
      </c>
      <c r="L26" s="7">
        <f t="shared" si="3"/>
        <v>1.5623627321366966</v>
      </c>
      <c r="M26" s="7">
        <f t="shared" si="4"/>
        <v>534.7967632103913</v>
      </c>
      <c r="N26" s="7">
        <f t="shared" si="5"/>
        <v>224.61464054836435</v>
      </c>
      <c r="O26" s="11">
        <f t="shared" si="6"/>
        <v>1.0695935264207825</v>
      </c>
    </row>
    <row r="27" spans="1:15" ht="15.75" x14ac:dyDescent="0.25">
      <c r="A27" t="s">
        <v>71</v>
      </c>
      <c r="B27" s="10">
        <v>10</v>
      </c>
      <c r="C27" s="10">
        <v>0.25</v>
      </c>
      <c r="D27" s="10">
        <v>0.11</v>
      </c>
      <c r="E27">
        <v>0.54600000000000004</v>
      </c>
      <c r="F27">
        <v>0.54900000000000004</v>
      </c>
      <c r="G27">
        <v>3.4863999999999997</v>
      </c>
      <c r="H27">
        <v>3.4778000000000007</v>
      </c>
      <c r="I27" s="10">
        <f t="shared" si="0"/>
        <v>2.9403999999999995</v>
      </c>
      <c r="J27" s="10">
        <f t="shared" si="1"/>
        <v>2.9288000000000007</v>
      </c>
      <c r="K27" s="10">
        <f t="shared" si="2"/>
        <v>2.9346000000000001</v>
      </c>
      <c r="L27" s="7">
        <f t="shared" si="3"/>
        <v>1.5720049625345782</v>
      </c>
      <c r="M27" s="7">
        <f t="shared" si="4"/>
        <v>538.0972986755861</v>
      </c>
      <c r="N27" s="7">
        <f t="shared" si="5"/>
        <v>226.00086544374616</v>
      </c>
      <c r="O27" s="11">
        <f t="shared" si="6"/>
        <v>1.0761945973511722</v>
      </c>
    </row>
    <row r="28" spans="1:15" ht="15.75" x14ac:dyDescent="0.25">
      <c r="A28" t="s">
        <v>72</v>
      </c>
      <c r="B28" s="10">
        <v>10</v>
      </c>
      <c r="C28" s="10">
        <v>0.25</v>
      </c>
      <c r="D28" s="10">
        <v>0.11</v>
      </c>
      <c r="E28">
        <v>0.53300000000000003</v>
      </c>
      <c r="F28">
        <v>0.53800000000000003</v>
      </c>
      <c r="G28">
        <v>3.4788000000000006</v>
      </c>
      <c r="H28">
        <v>3.4878</v>
      </c>
      <c r="I28" s="10">
        <f t="shared" si="0"/>
        <v>2.9458000000000006</v>
      </c>
      <c r="J28" s="10">
        <f t="shared" si="1"/>
        <v>2.9497999999999998</v>
      </c>
      <c r="K28" s="10">
        <f t="shared" si="2"/>
        <v>2.9478</v>
      </c>
      <c r="L28" s="7">
        <f t="shared" si="3"/>
        <v>1.5790759314930243</v>
      </c>
      <c r="M28" s="7">
        <f t="shared" si="4"/>
        <v>540.51769135006225</v>
      </c>
      <c r="N28" s="7">
        <f t="shared" si="5"/>
        <v>227.01743036702615</v>
      </c>
      <c r="O28" s="11">
        <f t="shared" si="6"/>
        <v>1.0810353827001244</v>
      </c>
    </row>
    <row r="29" spans="1:15" ht="15.75" x14ac:dyDescent="0.25">
      <c r="A29" t="s">
        <v>73</v>
      </c>
      <c r="B29" s="10">
        <v>10</v>
      </c>
      <c r="C29" s="10">
        <v>0.25</v>
      </c>
      <c r="D29" s="10">
        <v>0.11</v>
      </c>
      <c r="E29">
        <v>0.46100000000000002</v>
      </c>
      <c r="F29">
        <v>0.46600000000000003</v>
      </c>
      <c r="G29">
        <v>3.2454000000000001</v>
      </c>
      <c r="H29">
        <v>3.2594000000000003</v>
      </c>
      <c r="I29" s="10">
        <f t="shared" si="0"/>
        <v>2.7844000000000002</v>
      </c>
      <c r="J29" s="10">
        <f t="shared" si="1"/>
        <v>2.7934000000000001</v>
      </c>
      <c r="K29" s="10">
        <f t="shared" si="2"/>
        <v>2.7888999999999999</v>
      </c>
      <c r="L29" s="7">
        <f t="shared" si="3"/>
        <v>1.4939564642583945</v>
      </c>
      <c r="M29" s="7">
        <f t="shared" si="4"/>
        <v>511.38129771564843</v>
      </c>
      <c r="N29" s="7">
        <f t="shared" si="5"/>
        <v>214.78014504057234</v>
      </c>
      <c r="O29" s="11">
        <f t="shared" si="6"/>
        <v>1.0227625954312969</v>
      </c>
    </row>
    <row r="30" spans="1:15" ht="15.75" x14ac:dyDescent="0.25">
      <c r="A30" t="s">
        <v>74</v>
      </c>
      <c r="B30" s="10">
        <v>10</v>
      </c>
      <c r="C30" s="10">
        <v>0.25</v>
      </c>
      <c r="D30" s="10">
        <v>0.11</v>
      </c>
      <c r="E30">
        <v>0.69399999999999995</v>
      </c>
      <c r="F30">
        <v>0.70299999999999996</v>
      </c>
      <c r="G30">
        <v>3.5289999999999999</v>
      </c>
      <c r="H30">
        <v>3.5407999999999999</v>
      </c>
      <c r="I30" s="10">
        <f t="shared" si="0"/>
        <v>2.835</v>
      </c>
      <c r="J30" s="10">
        <f t="shared" si="1"/>
        <v>2.8378000000000001</v>
      </c>
      <c r="K30" s="10">
        <f t="shared" si="2"/>
        <v>2.8364000000000003</v>
      </c>
      <c r="L30" s="7">
        <f t="shared" si="3"/>
        <v>1.5194012389194704</v>
      </c>
      <c r="M30" s="7">
        <f t="shared" si="4"/>
        <v>520.09104408213477</v>
      </c>
      <c r="N30" s="7">
        <f t="shared" si="5"/>
        <v>218.43823851449659</v>
      </c>
      <c r="O30" s="11">
        <f t="shared" si="6"/>
        <v>1.0401820881642696</v>
      </c>
    </row>
    <row r="31" spans="1:15" ht="15.75" x14ac:dyDescent="0.25">
      <c r="A31" t="s">
        <v>75</v>
      </c>
      <c r="B31" s="10">
        <v>10</v>
      </c>
      <c r="C31" s="10">
        <v>0.25</v>
      </c>
      <c r="D31" s="10">
        <v>0.11</v>
      </c>
      <c r="E31">
        <v>0.622</v>
      </c>
      <c r="F31">
        <v>0.625</v>
      </c>
      <c r="G31">
        <v>3.5047999999999995</v>
      </c>
      <c r="H31">
        <v>3.5096000000000003</v>
      </c>
      <c r="I31" s="10">
        <f t="shared" si="0"/>
        <v>2.8827999999999996</v>
      </c>
      <c r="J31" s="10">
        <f t="shared" si="1"/>
        <v>2.8846000000000003</v>
      </c>
      <c r="K31" s="10">
        <f t="shared" si="2"/>
        <v>2.8837000000000002</v>
      </c>
      <c r="L31" s="7">
        <f t="shared" si="3"/>
        <v>1.5447388776872362</v>
      </c>
      <c r="M31" s="7">
        <f t="shared" si="4"/>
        <v>528.76411783234096</v>
      </c>
      <c r="N31" s="7">
        <f t="shared" si="5"/>
        <v>222.08092948958318</v>
      </c>
      <c r="O31" s="11">
        <f t="shared" si="6"/>
        <v>1.057528235664682</v>
      </c>
    </row>
  </sheetData>
  <conditionalFormatting sqref="I1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Orduña</vt:lpstr>
      <vt:lpstr>Gradiente</vt:lpstr>
      <vt:lpstr>Orduña_orientaciones</vt:lpstr>
      <vt:lpstr>Pino_vallcebre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Enara Alday</dc:creator>
  <cp:lastModifiedBy>User</cp:lastModifiedBy>
  <dcterms:created xsi:type="dcterms:W3CDTF">2023-08-04T06:24:34Z</dcterms:created>
  <dcterms:modified xsi:type="dcterms:W3CDTF">2023-10-26T10:00:49Z</dcterms:modified>
</cp:coreProperties>
</file>