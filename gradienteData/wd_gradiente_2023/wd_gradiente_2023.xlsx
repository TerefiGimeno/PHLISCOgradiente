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lermo.lopez\Desktop\PHLISCO\gradiente_2023\wd_gradiente_2023\"/>
    </mc:Choice>
  </mc:AlternateContent>
  <xr:revisionPtr revIDLastSave="0" documentId="13_ncr:1_{0D7FFA64-5CA0-4F35-BEFD-CFBE715FD1BF}" xr6:coauthVersionLast="36" xr6:coauthVersionMax="36" xr10:uidLastSave="{00000000-0000-0000-0000-000000000000}"/>
  <bookViews>
    <workbookView xWindow="0" yWindow="0" windowWidth="19200" windowHeight="6930" xr2:uid="{6DC30A64-EBC8-438C-9DDC-63565C9DCB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5" i="1" l="1"/>
  <c r="K45" i="1"/>
  <c r="J46" i="1"/>
  <c r="K46" i="1" s="1"/>
  <c r="J47" i="1"/>
  <c r="K47" i="1" s="1"/>
  <c r="K44" i="1"/>
  <c r="K43" i="1"/>
  <c r="K42" i="1"/>
  <c r="J44" i="1"/>
  <c r="J43" i="1"/>
  <c r="J42" i="1"/>
  <c r="K41" i="1"/>
  <c r="K40" i="1"/>
  <c r="K39" i="1"/>
  <c r="K38" i="1"/>
  <c r="K37" i="1"/>
  <c r="K36" i="1"/>
  <c r="J41" i="1"/>
  <c r="J40" i="1"/>
  <c r="J39" i="1"/>
  <c r="J38" i="1"/>
  <c r="J37" i="1"/>
  <c r="J36" i="1"/>
  <c r="K35" i="1"/>
  <c r="K34" i="1"/>
  <c r="K33" i="1"/>
  <c r="K32" i="1"/>
  <c r="K31" i="1"/>
  <c r="K30" i="1"/>
  <c r="J35" i="1"/>
  <c r="J34" i="1"/>
  <c r="J33" i="1"/>
  <c r="J32" i="1"/>
  <c r="J31" i="1"/>
  <c r="J30" i="1"/>
  <c r="K29" i="1"/>
  <c r="K28" i="1"/>
  <c r="K27" i="1"/>
  <c r="K26" i="1"/>
  <c r="K25" i="1"/>
  <c r="J29" i="1"/>
  <c r="J28" i="1"/>
  <c r="J27" i="1"/>
  <c r="J26" i="1"/>
  <c r="J25" i="1"/>
  <c r="K24" i="1"/>
  <c r="K23" i="1"/>
  <c r="K22" i="1"/>
  <c r="K21" i="1"/>
  <c r="K20" i="1"/>
  <c r="K19" i="1"/>
  <c r="J24" i="1"/>
  <c r="J23" i="1"/>
  <c r="J22" i="1"/>
  <c r="J21" i="1"/>
  <c r="J20" i="1"/>
  <c r="J19" i="1"/>
  <c r="K18" i="1"/>
  <c r="K17" i="1"/>
  <c r="K16" i="1"/>
  <c r="K15" i="1"/>
  <c r="K14" i="1"/>
  <c r="K13" i="1"/>
  <c r="J18" i="1"/>
  <c r="J17" i="1"/>
  <c r="J16" i="1"/>
  <c r="J15" i="1"/>
  <c r="J14" i="1"/>
  <c r="J13" i="1"/>
  <c r="K12" i="1"/>
  <c r="K11" i="1"/>
  <c r="K10" i="1"/>
  <c r="K9" i="1"/>
  <c r="K8" i="1"/>
  <c r="K7" i="1"/>
  <c r="J12" i="1"/>
  <c r="J11" i="1"/>
  <c r="J10" i="1"/>
  <c r="J9" i="1"/>
  <c r="J8" i="1"/>
  <c r="J7" i="1"/>
  <c r="J3" i="1"/>
  <c r="K3" i="1" s="1"/>
  <c r="J4" i="1"/>
  <c r="K4" i="1" s="1"/>
  <c r="J5" i="1"/>
  <c r="K5" i="1" s="1"/>
  <c r="J6" i="1"/>
  <c r="K6" i="1" s="1"/>
  <c r="J2" i="1"/>
  <c r="K2" i="1" s="1"/>
</calcChain>
</file>

<file path=xl/sharedStrings.xml><?xml version="1.0" encoding="utf-8"?>
<sst xmlns="http://schemas.openxmlformats.org/spreadsheetml/2006/main" count="150" uniqueCount="19">
  <si>
    <t>light_exposure</t>
  </si>
  <si>
    <t>id_plant</t>
  </si>
  <si>
    <t>date</t>
  </si>
  <si>
    <t>season</t>
  </si>
  <si>
    <t>fw_wd_g</t>
  </si>
  <si>
    <t>diameter_wd_cm</t>
  </si>
  <si>
    <t>length_wd_cm</t>
  </si>
  <si>
    <t>dw_wd_g</t>
  </si>
  <si>
    <t>site</t>
  </si>
  <si>
    <t>art</t>
  </si>
  <si>
    <t>spring</t>
  </si>
  <si>
    <t>shl</t>
  </si>
  <si>
    <t>vol muestra (g)</t>
  </si>
  <si>
    <t>densidad (g/cm3)</t>
  </si>
  <si>
    <t>ber</t>
  </si>
  <si>
    <t>itu</t>
  </si>
  <si>
    <t>diu</t>
  </si>
  <si>
    <t>summer</t>
  </si>
  <si>
    <t>3*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</si>
</sst>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6F219-D41A-4D06-8C99-884A18BBB30D}">
  <dimension ref="A1:K47"/>
  <sheetViews>
    <sheetView tabSelected="1" workbookViewId="0">
      <selection activeCell="M45" sqref="M45"/>
    </sheetView>
  </sheetViews>
  <sheetFormatPr defaultColWidth="8.6328125" defaultRowHeight="14.5" x14ac:dyDescent="0.35"/>
  <cols>
    <col min="1" max="1" width="8.81640625" bestFit="1" customWidth="1"/>
    <col min="2" max="2" width="7.7265625" customWidth="1"/>
    <col min="3" max="3" width="7.7265625" bestFit="1" customWidth="1"/>
    <col min="4" max="4" width="7.6328125" bestFit="1" customWidth="1"/>
    <col min="5" max="5" width="13.1796875" bestFit="1" customWidth="1"/>
    <col min="6" max="6" width="13.08984375" bestFit="1" customWidth="1"/>
    <col min="7" max="7" width="15.453125" bestFit="1" customWidth="1"/>
    <col min="8" max="8" width="8.453125" bestFit="1" customWidth="1"/>
    <col min="9" max="9" width="8.81640625" bestFit="1" customWidth="1"/>
    <col min="10" max="11" width="12.36328125" bestFit="1" customWidth="1"/>
  </cols>
  <sheetData>
    <row r="1" spans="1:11" x14ac:dyDescent="0.35">
      <c r="A1" t="s">
        <v>2</v>
      </c>
      <c r="B1" t="s">
        <v>8</v>
      </c>
      <c r="C1" t="s">
        <v>3</v>
      </c>
      <c r="D1" t="s">
        <v>1</v>
      </c>
      <c r="E1" t="s">
        <v>0</v>
      </c>
      <c r="F1" t="s">
        <v>6</v>
      </c>
      <c r="G1" t="s">
        <v>5</v>
      </c>
      <c r="H1" t="s">
        <v>4</v>
      </c>
      <c r="I1" t="s">
        <v>7</v>
      </c>
      <c r="J1" s="2" t="s">
        <v>12</v>
      </c>
      <c r="K1" s="2" t="s">
        <v>13</v>
      </c>
    </row>
    <row r="2" spans="1:11" x14ac:dyDescent="0.35">
      <c r="A2">
        <v>20230607</v>
      </c>
      <c r="B2" t="s">
        <v>9</v>
      </c>
      <c r="C2" t="s">
        <v>10</v>
      </c>
      <c r="D2">
        <v>1</v>
      </c>
      <c r="E2" t="s">
        <v>11</v>
      </c>
      <c r="F2" s="1">
        <v>6.74</v>
      </c>
      <c r="G2" s="1">
        <v>0.55000000000000004</v>
      </c>
      <c r="H2" s="1">
        <v>1.702</v>
      </c>
      <c r="I2" s="1">
        <v>1.052</v>
      </c>
      <c r="J2" s="1">
        <f>(PI()/4)*(G2^2*F2)</f>
        <v>1.6013090454428878</v>
      </c>
      <c r="K2" s="1">
        <f>I2/J2</f>
        <v>0.65696250389258204</v>
      </c>
    </row>
    <row r="3" spans="1:11" x14ac:dyDescent="0.35">
      <c r="A3">
        <v>20230607</v>
      </c>
      <c r="B3" t="s">
        <v>9</v>
      </c>
      <c r="C3" t="s">
        <v>10</v>
      </c>
      <c r="D3">
        <v>2</v>
      </c>
      <c r="E3" t="s">
        <v>11</v>
      </c>
      <c r="F3" s="1">
        <v>7.1</v>
      </c>
      <c r="G3" s="1">
        <v>0.42</v>
      </c>
      <c r="H3" s="1">
        <v>1.2629999999999999</v>
      </c>
      <c r="I3" s="1">
        <v>0.69499999999999995</v>
      </c>
      <c r="J3" s="1">
        <f t="shared" ref="J3:J44" si="0">(PI()/4)*(G3^2*F3)</f>
        <v>0.98366407576549997</v>
      </c>
      <c r="K3" s="1">
        <f t="shared" ref="K3:K44" si="1">I3/J3</f>
        <v>0.70654201685584794</v>
      </c>
    </row>
    <row r="4" spans="1:11" x14ac:dyDescent="0.35">
      <c r="A4">
        <v>20230607</v>
      </c>
      <c r="B4" t="s">
        <v>9</v>
      </c>
      <c r="C4" t="s">
        <v>10</v>
      </c>
      <c r="D4">
        <v>3</v>
      </c>
      <c r="E4" t="s">
        <v>11</v>
      </c>
      <c r="F4" s="1">
        <v>6.36</v>
      </c>
      <c r="G4" s="1">
        <v>0.5</v>
      </c>
      <c r="H4" s="1">
        <v>1.2649999999999999</v>
      </c>
      <c r="I4" s="1">
        <v>0.75700000000000001</v>
      </c>
      <c r="J4" s="1">
        <f t="shared" si="0"/>
        <v>1.2487830798019428</v>
      </c>
      <c r="K4" s="1">
        <f t="shared" si="1"/>
        <v>0.60619014802799887</v>
      </c>
    </row>
    <row r="5" spans="1:11" x14ac:dyDescent="0.35">
      <c r="A5">
        <v>20230607</v>
      </c>
      <c r="B5" t="s">
        <v>9</v>
      </c>
      <c r="C5" t="s">
        <v>10</v>
      </c>
      <c r="D5">
        <v>4</v>
      </c>
      <c r="E5" t="s">
        <v>11</v>
      </c>
      <c r="F5" s="1">
        <v>6.27</v>
      </c>
      <c r="G5" s="1">
        <v>0.49</v>
      </c>
      <c r="H5" s="1">
        <v>1.3620000000000001</v>
      </c>
      <c r="I5" s="1">
        <v>0.79200000000000004</v>
      </c>
      <c r="J5" s="1">
        <f t="shared" si="0"/>
        <v>1.1823596009289303</v>
      </c>
      <c r="K5" s="1">
        <f t="shared" si="1"/>
        <v>0.66984697327087195</v>
      </c>
    </row>
    <row r="6" spans="1:11" x14ac:dyDescent="0.35">
      <c r="A6">
        <v>20230607</v>
      </c>
      <c r="B6" t="s">
        <v>9</v>
      </c>
      <c r="C6" t="s">
        <v>10</v>
      </c>
      <c r="D6">
        <v>5</v>
      </c>
      <c r="E6" t="s">
        <v>11</v>
      </c>
      <c r="F6" s="1">
        <v>6.85</v>
      </c>
      <c r="G6" s="1">
        <v>0.53</v>
      </c>
      <c r="H6" s="1">
        <v>2.1240000000000001</v>
      </c>
      <c r="I6" s="1">
        <v>1.3029999999999999</v>
      </c>
      <c r="J6" s="1">
        <f t="shared" si="0"/>
        <v>1.5112356570736512</v>
      </c>
      <c r="K6" s="1">
        <f t="shared" si="1"/>
        <v>0.8622083484472054</v>
      </c>
    </row>
    <row r="7" spans="1:11" x14ac:dyDescent="0.35">
      <c r="A7">
        <v>20230608</v>
      </c>
      <c r="B7" t="s">
        <v>14</v>
      </c>
      <c r="C7" t="s">
        <v>10</v>
      </c>
      <c r="D7">
        <v>1</v>
      </c>
      <c r="E7" t="s">
        <v>11</v>
      </c>
      <c r="F7" s="1">
        <v>6.45</v>
      </c>
      <c r="G7" s="1">
        <v>0.63</v>
      </c>
      <c r="H7" s="1">
        <v>1.9379999999999999</v>
      </c>
      <c r="I7" s="1">
        <v>1.1870000000000001</v>
      </c>
      <c r="J7" s="1">
        <f t="shared" si="0"/>
        <v>2.0106232252882847</v>
      </c>
      <c r="K7" s="1">
        <f t="shared" si="1"/>
        <v>0.59036421397639383</v>
      </c>
    </row>
    <row r="8" spans="1:11" x14ac:dyDescent="0.35">
      <c r="A8">
        <v>20230608</v>
      </c>
      <c r="B8" t="s">
        <v>14</v>
      </c>
      <c r="C8" t="s">
        <v>10</v>
      </c>
      <c r="D8">
        <v>2</v>
      </c>
      <c r="E8" t="s">
        <v>11</v>
      </c>
      <c r="F8" s="1">
        <v>7.12</v>
      </c>
      <c r="G8" s="1">
        <v>0.44</v>
      </c>
      <c r="H8" s="1">
        <v>1.1930000000000001</v>
      </c>
      <c r="I8" s="1">
        <v>0.76800000000000002</v>
      </c>
      <c r="J8" s="1">
        <f t="shared" si="0"/>
        <v>1.0826179611682714</v>
      </c>
      <c r="K8" s="1">
        <f t="shared" si="1"/>
        <v>0.70939151902785558</v>
      </c>
    </row>
    <row r="9" spans="1:11" x14ac:dyDescent="0.35">
      <c r="A9">
        <v>20230608</v>
      </c>
      <c r="B9" t="s">
        <v>14</v>
      </c>
      <c r="C9" t="s">
        <v>10</v>
      </c>
      <c r="D9">
        <v>3</v>
      </c>
      <c r="E9" t="s">
        <v>11</v>
      </c>
      <c r="F9" s="1">
        <v>6.14</v>
      </c>
      <c r="G9" s="1">
        <v>0.8</v>
      </c>
      <c r="H9" s="1">
        <v>2.8740000000000001</v>
      </c>
      <c r="I9" s="1">
        <v>1.7529999999999999</v>
      </c>
      <c r="J9" s="1">
        <f t="shared" si="0"/>
        <v>3.0863006228866134</v>
      </c>
      <c r="K9" s="1">
        <f t="shared" si="1"/>
        <v>0.56799392353439015</v>
      </c>
    </row>
    <row r="10" spans="1:11" x14ac:dyDescent="0.35">
      <c r="A10">
        <v>20230608</v>
      </c>
      <c r="B10" t="s">
        <v>14</v>
      </c>
      <c r="C10" t="s">
        <v>10</v>
      </c>
      <c r="D10">
        <v>4</v>
      </c>
      <c r="E10" t="s">
        <v>11</v>
      </c>
      <c r="F10" s="1">
        <v>7.1</v>
      </c>
      <c r="G10" s="1">
        <v>0.4</v>
      </c>
      <c r="H10" s="1">
        <v>1.135</v>
      </c>
      <c r="I10" s="1">
        <v>0.68899999999999995</v>
      </c>
      <c r="J10" s="1">
        <f t="shared" si="0"/>
        <v>0.89221231361950137</v>
      </c>
      <c r="K10" s="1">
        <f t="shared" si="1"/>
        <v>0.7722377168332103</v>
      </c>
    </row>
    <row r="11" spans="1:11" x14ac:dyDescent="0.35">
      <c r="A11">
        <v>20230608</v>
      </c>
      <c r="B11" t="s">
        <v>14</v>
      </c>
      <c r="C11" t="s">
        <v>10</v>
      </c>
      <c r="D11">
        <v>5</v>
      </c>
      <c r="E11" t="s">
        <v>11</v>
      </c>
      <c r="F11" s="1">
        <v>7.49</v>
      </c>
      <c r="G11" s="1">
        <v>0.5</v>
      </c>
      <c r="H11" s="1">
        <v>1.5609999999999999</v>
      </c>
      <c r="I11" s="1">
        <v>0.98899999999999999</v>
      </c>
      <c r="J11" s="1">
        <f t="shared" si="0"/>
        <v>1.4706580609617219</v>
      </c>
      <c r="K11" s="1">
        <f t="shared" si="1"/>
        <v>0.67248806928869209</v>
      </c>
    </row>
    <row r="12" spans="1:11" x14ac:dyDescent="0.35">
      <c r="A12">
        <v>20230608</v>
      </c>
      <c r="B12" t="s">
        <v>14</v>
      </c>
      <c r="C12" t="s">
        <v>10</v>
      </c>
      <c r="D12">
        <v>6</v>
      </c>
      <c r="E12" t="s">
        <v>11</v>
      </c>
      <c r="F12" s="1">
        <v>6.85</v>
      </c>
      <c r="G12" s="1">
        <v>0.5</v>
      </c>
      <c r="H12" s="1">
        <v>1.3089999999999999</v>
      </c>
      <c r="I12" s="1">
        <v>0.82499999999999996</v>
      </c>
      <c r="J12" s="1">
        <f t="shared" si="0"/>
        <v>1.34499435481813</v>
      </c>
      <c r="K12" s="1">
        <f t="shared" si="1"/>
        <v>0.61338547410599087</v>
      </c>
    </row>
    <row r="13" spans="1:11" x14ac:dyDescent="0.35">
      <c r="A13">
        <v>20230606</v>
      </c>
      <c r="B13" t="s">
        <v>15</v>
      </c>
      <c r="C13" t="s">
        <v>10</v>
      </c>
      <c r="D13">
        <v>1</v>
      </c>
      <c r="E13" t="s">
        <v>11</v>
      </c>
      <c r="F13" s="1">
        <v>5.57</v>
      </c>
      <c r="G13" s="1">
        <v>0.64</v>
      </c>
      <c r="H13" s="1">
        <v>1.8520000000000001</v>
      </c>
      <c r="I13" s="1">
        <v>1.07</v>
      </c>
      <c r="J13" s="1">
        <f t="shared" si="0"/>
        <v>1.7918639186427034</v>
      </c>
      <c r="K13" s="1">
        <f t="shared" si="1"/>
        <v>0.59714356032711513</v>
      </c>
    </row>
    <row r="14" spans="1:11" x14ac:dyDescent="0.35">
      <c r="A14">
        <v>20230606</v>
      </c>
      <c r="B14" t="s">
        <v>15</v>
      </c>
      <c r="C14" t="s">
        <v>10</v>
      </c>
      <c r="D14">
        <v>2</v>
      </c>
      <c r="E14" t="s">
        <v>11</v>
      </c>
      <c r="F14" s="1">
        <v>6.95</v>
      </c>
      <c r="G14" s="1">
        <v>0.42</v>
      </c>
      <c r="H14" s="1">
        <v>1.363</v>
      </c>
      <c r="I14" s="1">
        <v>0.76900000000000002</v>
      </c>
      <c r="J14" s="1">
        <f t="shared" si="0"/>
        <v>0.96288244036200354</v>
      </c>
      <c r="K14" s="1">
        <f t="shared" si="1"/>
        <v>0.79864370536333407</v>
      </c>
    </row>
    <row r="15" spans="1:11" x14ac:dyDescent="0.35">
      <c r="A15">
        <v>20230606</v>
      </c>
      <c r="B15" t="s">
        <v>15</v>
      </c>
      <c r="C15" t="s">
        <v>10</v>
      </c>
      <c r="D15">
        <v>3</v>
      </c>
      <c r="E15" t="s">
        <v>11</v>
      </c>
      <c r="F15" s="1">
        <v>7.09</v>
      </c>
      <c r="G15" s="1">
        <v>0.56000000000000005</v>
      </c>
      <c r="H15" s="1">
        <v>1.9570000000000001</v>
      </c>
      <c r="I15" s="1">
        <v>1.1180000000000001</v>
      </c>
      <c r="J15" s="1">
        <f t="shared" si="0"/>
        <v>1.746273126053808</v>
      </c>
      <c r="K15" s="1">
        <f t="shared" si="1"/>
        <v>0.64022058366461465</v>
      </c>
    </row>
    <row r="16" spans="1:11" x14ac:dyDescent="0.35">
      <c r="A16">
        <v>20230606</v>
      </c>
      <c r="B16" t="s">
        <v>15</v>
      </c>
      <c r="C16" t="s">
        <v>10</v>
      </c>
      <c r="D16">
        <v>4</v>
      </c>
      <c r="E16" t="s">
        <v>11</v>
      </c>
      <c r="F16" s="1">
        <v>6.23</v>
      </c>
      <c r="G16" s="1">
        <v>0.51</v>
      </c>
      <c r="H16" s="1">
        <v>1.286</v>
      </c>
      <c r="I16" s="1">
        <v>0.73499999999999999</v>
      </c>
      <c r="J16" s="1">
        <f t="shared" si="0"/>
        <v>1.2726772481269835</v>
      </c>
      <c r="K16" s="1">
        <f t="shared" si="1"/>
        <v>0.57752269955458824</v>
      </c>
    </row>
    <row r="17" spans="1:11" x14ac:dyDescent="0.35">
      <c r="A17">
        <v>20230606</v>
      </c>
      <c r="B17" t="s">
        <v>15</v>
      </c>
      <c r="C17" t="s">
        <v>10</v>
      </c>
      <c r="D17">
        <v>5</v>
      </c>
      <c r="E17" t="s">
        <v>11</v>
      </c>
      <c r="F17" s="1">
        <v>6.51</v>
      </c>
      <c r="G17" s="1">
        <v>0.5</v>
      </c>
      <c r="H17" s="1">
        <v>0.998</v>
      </c>
      <c r="I17" s="1">
        <v>0.54200000000000004</v>
      </c>
      <c r="J17" s="1">
        <f t="shared" si="0"/>
        <v>1.2782355109293471</v>
      </c>
      <c r="K17" s="1">
        <f t="shared" si="1"/>
        <v>0.42402201735573469</v>
      </c>
    </row>
    <row r="18" spans="1:11" x14ac:dyDescent="0.35">
      <c r="A18">
        <v>20230606</v>
      </c>
      <c r="B18" t="s">
        <v>15</v>
      </c>
      <c r="C18" t="s">
        <v>10</v>
      </c>
      <c r="D18">
        <v>6</v>
      </c>
      <c r="E18" t="s">
        <v>11</v>
      </c>
      <c r="F18" s="1">
        <v>6.9</v>
      </c>
      <c r="G18" s="1">
        <v>0.43</v>
      </c>
      <c r="H18" s="1">
        <v>1.052</v>
      </c>
      <c r="I18" s="1">
        <v>0.53</v>
      </c>
      <c r="J18" s="1">
        <f t="shared" si="0"/>
        <v>1.0020188308440985</v>
      </c>
      <c r="K18" s="1">
        <f t="shared" si="1"/>
        <v>0.52893217540984649</v>
      </c>
    </row>
    <row r="19" spans="1:11" x14ac:dyDescent="0.35">
      <c r="A19">
        <v>20230615</v>
      </c>
      <c r="B19" t="s">
        <v>16</v>
      </c>
      <c r="C19" t="s">
        <v>10</v>
      </c>
      <c r="D19">
        <v>1</v>
      </c>
      <c r="E19" t="s">
        <v>11</v>
      </c>
      <c r="F19" s="1">
        <v>7.5</v>
      </c>
      <c r="G19" s="1">
        <v>0.42</v>
      </c>
      <c r="H19" s="1">
        <v>1.071</v>
      </c>
      <c r="I19" s="1">
        <v>0.58399999999999996</v>
      </c>
      <c r="J19" s="1">
        <f t="shared" si="0"/>
        <v>1.0390817701748238</v>
      </c>
      <c r="K19" s="1">
        <f t="shared" si="1"/>
        <v>0.56203468943713919</v>
      </c>
    </row>
    <row r="20" spans="1:11" x14ac:dyDescent="0.35">
      <c r="A20">
        <v>20230615</v>
      </c>
      <c r="B20" t="s">
        <v>16</v>
      </c>
      <c r="C20" t="s">
        <v>10</v>
      </c>
      <c r="D20">
        <v>2</v>
      </c>
      <c r="E20" t="s">
        <v>11</v>
      </c>
      <c r="F20" s="1">
        <v>6.5</v>
      </c>
      <c r="G20" s="1">
        <v>0.46</v>
      </c>
      <c r="H20" s="1">
        <v>1.27</v>
      </c>
      <c r="I20" s="1">
        <v>0.76600000000000001</v>
      </c>
      <c r="J20" s="1">
        <f t="shared" si="0"/>
        <v>1.0802366339368503</v>
      </c>
      <c r="K20" s="1">
        <f t="shared" si="1"/>
        <v>0.70910389069880375</v>
      </c>
    </row>
    <row r="21" spans="1:11" x14ac:dyDescent="0.35">
      <c r="A21">
        <v>20230615</v>
      </c>
      <c r="B21" t="s">
        <v>16</v>
      </c>
      <c r="C21" t="s">
        <v>10</v>
      </c>
      <c r="D21">
        <v>3</v>
      </c>
      <c r="E21" t="s">
        <v>11</v>
      </c>
      <c r="F21" s="1">
        <v>7.17</v>
      </c>
      <c r="G21" s="1">
        <v>0.54</v>
      </c>
      <c r="H21" s="1">
        <v>1.9510000000000001</v>
      </c>
      <c r="I21" s="1">
        <v>1.1839999999999999</v>
      </c>
      <c r="J21" s="1">
        <f t="shared" si="0"/>
        <v>1.64208848888281</v>
      </c>
      <c r="K21" s="1">
        <f t="shared" si="1"/>
        <v>0.72103300645236901</v>
      </c>
    </row>
    <row r="22" spans="1:11" x14ac:dyDescent="0.35">
      <c r="A22">
        <v>20230615</v>
      </c>
      <c r="B22" t="s">
        <v>16</v>
      </c>
      <c r="C22" t="s">
        <v>10</v>
      </c>
      <c r="D22">
        <v>4</v>
      </c>
      <c r="E22" t="s">
        <v>11</v>
      </c>
      <c r="F22" s="1">
        <v>6.74</v>
      </c>
      <c r="G22" s="1">
        <v>0.48</v>
      </c>
      <c r="H22" s="1">
        <v>1.2989999999999999</v>
      </c>
      <c r="I22" s="1">
        <v>0.78300000000000003</v>
      </c>
      <c r="J22" s="1">
        <f t="shared" si="0"/>
        <v>1.2196416663472438</v>
      </c>
      <c r="K22" s="1">
        <f t="shared" si="1"/>
        <v>0.64199184203425885</v>
      </c>
    </row>
    <row r="23" spans="1:11" x14ac:dyDescent="0.35">
      <c r="A23">
        <v>20230615</v>
      </c>
      <c r="B23" t="s">
        <v>16</v>
      </c>
      <c r="C23" t="s">
        <v>10</v>
      </c>
      <c r="D23">
        <v>5</v>
      </c>
      <c r="E23" t="s">
        <v>11</v>
      </c>
      <c r="F23" s="1">
        <v>7.27</v>
      </c>
      <c r="G23" s="1">
        <v>0.61</v>
      </c>
      <c r="H23" s="1">
        <v>2.5299999999999998</v>
      </c>
      <c r="I23" s="1">
        <v>1.5129999999999999</v>
      </c>
      <c r="J23" s="1">
        <f t="shared" si="0"/>
        <v>2.1246331934833851</v>
      </c>
      <c r="K23" s="1">
        <f t="shared" si="1"/>
        <v>0.71212292297824897</v>
      </c>
    </row>
    <row r="24" spans="1:11" x14ac:dyDescent="0.35">
      <c r="A24">
        <v>20230615</v>
      </c>
      <c r="B24" t="s">
        <v>16</v>
      </c>
      <c r="C24" t="s">
        <v>10</v>
      </c>
      <c r="D24">
        <v>6</v>
      </c>
      <c r="E24" t="s">
        <v>11</v>
      </c>
      <c r="F24">
        <v>6.87</v>
      </c>
      <c r="G24" s="1">
        <v>0.67</v>
      </c>
      <c r="H24" s="1">
        <v>2.3420000000000001</v>
      </c>
      <c r="I24" s="1">
        <v>1.4239999999999999</v>
      </c>
      <c r="J24" s="1">
        <f t="shared" si="0"/>
        <v>2.4221231682224174</v>
      </c>
      <c r="K24" s="1">
        <f t="shared" si="1"/>
        <v>0.58791395032361859</v>
      </c>
    </row>
    <row r="25" spans="1:11" x14ac:dyDescent="0.35">
      <c r="A25">
        <v>20230831</v>
      </c>
      <c r="B25" t="s">
        <v>9</v>
      </c>
      <c r="C25" t="s">
        <v>17</v>
      </c>
      <c r="D25">
        <v>1</v>
      </c>
      <c r="E25" t="s">
        <v>11</v>
      </c>
      <c r="F25" s="1">
        <v>7.11</v>
      </c>
      <c r="G25" s="1">
        <v>0.44</v>
      </c>
      <c r="H25" s="1">
        <v>1.3</v>
      </c>
      <c r="I25" s="1">
        <v>0.79100000000000004</v>
      </c>
      <c r="J25" s="1">
        <f t="shared" si="0"/>
        <v>1.081097430323934</v>
      </c>
      <c r="K25" s="1">
        <f t="shared" si="1"/>
        <v>0.73166393500999183</v>
      </c>
    </row>
    <row r="26" spans="1:11" x14ac:dyDescent="0.35">
      <c r="A26">
        <v>20230831</v>
      </c>
      <c r="B26" t="s">
        <v>9</v>
      </c>
      <c r="C26" t="s">
        <v>17</v>
      </c>
      <c r="D26">
        <v>2</v>
      </c>
      <c r="E26" t="s">
        <v>11</v>
      </c>
      <c r="F26" s="1">
        <v>5</v>
      </c>
      <c r="G26" s="1">
        <v>0.35</v>
      </c>
      <c r="H26" s="1">
        <v>0.85399999999999998</v>
      </c>
      <c r="I26" s="1">
        <v>0.52200000000000002</v>
      </c>
      <c r="J26" s="1">
        <f t="shared" si="0"/>
        <v>0.48105637508093702</v>
      </c>
      <c r="K26" s="1">
        <f t="shared" si="1"/>
        <v>1.0851119058804164</v>
      </c>
    </row>
    <row r="27" spans="1:11" x14ac:dyDescent="0.35">
      <c r="A27">
        <v>20230831</v>
      </c>
      <c r="B27" t="s">
        <v>9</v>
      </c>
      <c r="C27" t="s">
        <v>17</v>
      </c>
      <c r="D27">
        <v>3</v>
      </c>
      <c r="E27" t="s">
        <v>11</v>
      </c>
      <c r="F27" s="1">
        <v>4.7</v>
      </c>
      <c r="G27" s="1">
        <v>0.4</v>
      </c>
      <c r="H27" s="1">
        <v>1.1830000000000001</v>
      </c>
      <c r="I27" s="1">
        <v>0.67200000000000004</v>
      </c>
      <c r="J27" s="1">
        <f t="shared" si="0"/>
        <v>0.59061941887488123</v>
      </c>
      <c r="K27" s="1">
        <f t="shared" si="1"/>
        <v>1.1377885293378047</v>
      </c>
    </row>
    <row r="28" spans="1:11" x14ac:dyDescent="0.35">
      <c r="A28">
        <v>20230831</v>
      </c>
      <c r="B28" t="s">
        <v>9</v>
      </c>
      <c r="C28" t="s">
        <v>17</v>
      </c>
      <c r="D28" s="3" t="s">
        <v>18</v>
      </c>
      <c r="E28" t="s">
        <v>11</v>
      </c>
      <c r="F28" s="1">
        <v>7.8</v>
      </c>
      <c r="G28" s="1">
        <v>0.49</v>
      </c>
      <c r="H28" s="1">
        <v>2.1429999999999998</v>
      </c>
      <c r="I28" s="1">
        <v>1.244</v>
      </c>
      <c r="J28" s="1">
        <f t="shared" si="0"/>
        <v>1.4708779724474732</v>
      </c>
      <c r="K28" s="1">
        <f t="shared" si="1"/>
        <v>0.84575336860204742</v>
      </c>
    </row>
    <row r="29" spans="1:11" x14ac:dyDescent="0.35">
      <c r="A29">
        <v>20230831</v>
      </c>
      <c r="B29" t="s">
        <v>9</v>
      </c>
      <c r="C29" t="s">
        <v>17</v>
      </c>
      <c r="D29">
        <v>5</v>
      </c>
      <c r="E29" t="s">
        <v>11</v>
      </c>
      <c r="F29" s="1">
        <v>5.72</v>
      </c>
      <c r="G29" s="1">
        <v>0.41</v>
      </c>
      <c r="H29" s="1">
        <v>1.35</v>
      </c>
      <c r="I29" s="1">
        <v>0.80200000000000005</v>
      </c>
      <c r="J29" s="1">
        <f t="shared" si="0"/>
        <v>0.75518546684787513</v>
      </c>
      <c r="K29" s="1">
        <f t="shared" si="1"/>
        <v>1.0619907760507199</v>
      </c>
    </row>
    <row r="30" spans="1:11" x14ac:dyDescent="0.35">
      <c r="A30">
        <v>20230830</v>
      </c>
      <c r="B30" t="s">
        <v>14</v>
      </c>
      <c r="C30" t="s">
        <v>17</v>
      </c>
      <c r="D30">
        <v>1</v>
      </c>
      <c r="E30" t="s">
        <v>11</v>
      </c>
      <c r="F30" s="1">
        <v>4.55</v>
      </c>
      <c r="G30" s="1">
        <v>0.68</v>
      </c>
      <c r="H30" s="1">
        <v>1.859</v>
      </c>
      <c r="I30" s="1">
        <v>1.0900000000000001</v>
      </c>
      <c r="J30" s="1">
        <f t="shared" si="0"/>
        <v>1.6524149039351597</v>
      </c>
      <c r="K30" s="1">
        <f t="shared" si="1"/>
        <v>0.6596406250053839</v>
      </c>
    </row>
    <row r="31" spans="1:11" x14ac:dyDescent="0.35">
      <c r="A31">
        <v>20230830</v>
      </c>
      <c r="B31" t="s">
        <v>14</v>
      </c>
      <c r="C31" t="s">
        <v>17</v>
      </c>
      <c r="D31">
        <v>2</v>
      </c>
      <c r="E31" t="s">
        <v>11</v>
      </c>
      <c r="F31" s="1">
        <v>5.79</v>
      </c>
      <c r="G31" s="1">
        <v>0.57999999999999996</v>
      </c>
      <c r="H31" s="1">
        <v>1.5409999999999999</v>
      </c>
      <c r="I31" s="1">
        <v>0.98199999999999998</v>
      </c>
      <c r="J31" s="1">
        <f t="shared" si="0"/>
        <v>1.52976398514636</v>
      </c>
      <c r="K31" s="1">
        <f t="shared" si="1"/>
        <v>0.64192908810442884</v>
      </c>
    </row>
    <row r="32" spans="1:11" x14ac:dyDescent="0.35">
      <c r="A32">
        <v>20230830</v>
      </c>
      <c r="B32" t="s">
        <v>14</v>
      </c>
      <c r="C32" t="s">
        <v>17</v>
      </c>
      <c r="D32">
        <v>3</v>
      </c>
      <c r="E32" t="s">
        <v>11</v>
      </c>
      <c r="F32" s="1">
        <v>5.5</v>
      </c>
      <c r="G32" s="1">
        <v>0.3</v>
      </c>
      <c r="H32" s="1">
        <v>0.61299999999999999</v>
      </c>
      <c r="I32" s="1">
        <v>0.38800000000000001</v>
      </c>
      <c r="J32" s="1">
        <f t="shared" si="0"/>
        <v>0.38877209088173692</v>
      </c>
      <c r="K32" s="1">
        <f t="shared" si="1"/>
        <v>0.99801402698432951</v>
      </c>
    </row>
    <row r="33" spans="1:11" x14ac:dyDescent="0.35">
      <c r="A33">
        <v>20230830</v>
      </c>
      <c r="B33" t="s">
        <v>14</v>
      </c>
      <c r="C33" t="s">
        <v>17</v>
      </c>
      <c r="D33">
        <v>4</v>
      </c>
      <c r="E33" t="s">
        <v>11</v>
      </c>
      <c r="F33" s="1">
        <v>5.39</v>
      </c>
      <c r="G33" s="1">
        <v>0.47</v>
      </c>
      <c r="H33" s="1">
        <v>0.99099999999999999</v>
      </c>
      <c r="I33" s="1">
        <v>0.624</v>
      </c>
      <c r="J33" s="1">
        <f t="shared" si="0"/>
        <v>0.93513510864733507</v>
      </c>
      <c r="K33" s="1">
        <f t="shared" si="1"/>
        <v>0.6672832558950873</v>
      </c>
    </row>
    <row r="34" spans="1:11" x14ac:dyDescent="0.35">
      <c r="A34">
        <v>20230830</v>
      </c>
      <c r="B34" t="s">
        <v>14</v>
      </c>
      <c r="C34" t="s">
        <v>17</v>
      </c>
      <c r="D34">
        <v>5</v>
      </c>
      <c r="E34" t="s">
        <v>11</v>
      </c>
      <c r="F34" s="1">
        <v>6.65</v>
      </c>
      <c r="G34" s="1">
        <v>0.3</v>
      </c>
      <c r="H34" s="1">
        <v>0.72899999999999998</v>
      </c>
      <c r="I34" s="1">
        <v>0.45400000000000001</v>
      </c>
      <c r="J34" s="1">
        <f t="shared" si="0"/>
        <v>0.47006080079337281</v>
      </c>
      <c r="K34" s="1">
        <f t="shared" si="1"/>
        <v>0.9658325034415437</v>
      </c>
    </row>
    <row r="35" spans="1:11" x14ac:dyDescent="0.35">
      <c r="A35">
        <v>20230830</v>
      </c>
      <c r="B35" t="s">
        <v>14</v>
      </c>
      <c r="C35" t="s">
        <v>17</v>
      </c>
      <c r="D35">
        <v>6</v>
      </c>
      <c r="E35" t="s">
        <v>11</v>
      </c>
      <c r="F35" s="1">
        <v>5.9</v>
      </c>
      <c r="G35" s="1">
        <v>0.39</v>
      </c>
      <c r="I35" s="1">
        <v>0.59699999999999998</v>
      </c>
      <c r="J35" s="1">
        <f t="shared" si="0"/>
        <v>0.70480845785123625</v>
      </c>
      <c r="K35" s="1">
        <f t="shared" si="1"/>
        <v>0.84703864340687096</v>
      </c>
    </row>
    <row r="36" spans="1:11" x14ac:dyDescent="0.35">
      <c r="A36">
        <v>20230829</v>
      </c>
      <c r="B36" t="s">
        <v>15</v>
      </c>
      <c r="C36" t="s">
        <v>17</v>
      </c>
      <c r="D36">
        <v>1</v>
      </c>
      <c r="E36" t="s">
        <v>11</v>
      </c>
      <c r="F36" s="1">
        <v>6.45</v>
      </c>
      <c r="G36" s="1">
        <v>0.46</v>
      </c>
      <c r="H36" s="1">
        <v>1.6060000000000001</v>
      </c>
      <c r="I36" s="1">
        <v>0.92900000000000005</v>
      </c>
      <c r="J36" s="1">
        <f t="shared" si="0"/>
        <v>1.0719271213681054</v>
      </c>
      <c r="K36" s="1">
        <f t="shared" si="1"/>
        <v>0.86666339668158887</v>
      </c>
    </row>
    <row r="37" spans="1:11" x14ac:dyDescent="0.35">
      <c r="A37">
        <v>20230829</v>
      </c>
      <c r="B37" t="s">
        <v>15</v>
      </c>
      <c r="C37" t="s">
        <v>17</v>
      </c>
      <c r="D37">
        <v>2</v>
      </c>
      <c r="E37" t="s">
        <v>11</v>
      </c>
      <c r="F37" s="1">
        <v>7.86</v>
      </c>
      <c r="G37" s="1">
        <v>0.38</v>
      </c>
      <c r="H37" s="1">
        <v>0.98199999999999998</v>
      </c>
      <c r="I37" s="1">
        <v>0.55800000000000005</v>
      </c>
      <c r="J37" s="1">
        <f t="shared" si="0"/>
        <v>0.89141434908548944</v>
      </c>
      <c r="K37" s="1">
        <f t="shared" si="1"/>
        <v>0.62597152555650204</v>
      </c>
    </row>
    <row r="38" spans="1:11" x14ac:dyDescent="0.35">
      <c r="A38">
        <v>20230829</v>
      </c>
      <c r="B38" t="s">
        <v>15</v>
      </c>
      <c r="C38" t="s">
        <v>17</v>
      </c>
      <c r="D38">
        <v>3</v>
      </c>
      <c r="E38" t="s">
        <v>11</v>
      </c>
      <c r="F38" s="1">
        <v>7.42</v>
      </c>
      <c r="G38" s="1">
        <v>0.38</v>
      </c>
      <c r="H38" s="1">
        <v>1.127</v>
      </c>
      <c r="I38" s="1">
        <v>0.65400000000000003</v>
      </c>
      <c r="J38" s="1">
        <f t="shared" si="0"/>
        <v>0.84151329137586917</v>
      </c>
      <c r="K38" s="1">
        <f t="shared" si="1"/>
        <v>0.77717132539964273</v>
      </c>
    </row>
    <row r="39" spans="1:11" x14ac:dyDescent="0.35">
      <c r="A39">
        <v>20230829</v>
      </c>
      <c r="B39" t="s">
        <v>15</v>
      </c>
      <c r="C39" t="s">
        <v>17</v>
      </c>
      <c r="D39">
        <v>4</v>
      </c>
      <c r="E39" t="s">
        <v>11</v>
      </c>
      <c r="F39" s="1">
        <v>6.19</v>
      </c>
      <c r="G39" s="1">
        <v>0.5</v>
      </c>
      <c r="H39" s="1">
        <v>1.5469999999999999</v>
      </c>
      <c r="I39" s="1">
        <v>0.85499999999999998</v>
      </c>
      <c r="J39" s="1">
        <f t="shared" si="0"/>
        <v>1.2154036578575513</v>
      </c>
      <c r="K39" s="1">
        <f t="shared" si="1"/>
        <v>0.70346999079067141</v>
      </c>
    </row>
    <row r="40" spans="1:11" x14ac:dyDescent="0.35">
      <c r="A40">
        <v>20230829</v>
      </c>
      <c r="B40" t="s">
        <v>15</v>
      </c>
      <c r="C40" t="s">
        <v>17</v>
      </c>
      <c r="D40">
        <v>5</v>
      </c>
      <c r="E40" t="s">
        <v>11</v>
      </c>
      <c r="F40" s="1">
        <v>5.97</v>
      </c>
      <c r="G40" s="1">
        <v>0.49</v>
      </c>
      <c r="H40" s="1">
        <v>1.121</v>
      </c>
      <c r="I40" s="1">
        <v>0.67800000000000005</v>
      </c>
      <c r="J40" s="1">
        <f t="shared" si="0"/>
        <v>1.125787371219412</v>
      </c>
      <c r="K40" s="1">
        <f t="shared" si="1"/>
        <v>0.60224516399186023</v>
      </c>
    </row>
    <row r="41" spans="1:11" x14ac:dyDescent="0.35">
      <c r="A41">
        <v>20230829</v>
      </c>
      <c r="B41" t="s">
        <v>15</v>
      </c>
      <c r="C41" t="s">
        <v>17</v>
      </c>
      <c r="D41">
        <v>6</v>
      </c>
      <c r="E41" t="s">
        <v>11</v>
      </c>
      <c r="F41" s="1">
        <v>5.73</v>
      </c>
      <c r="G41" s="1">
        <v>0.45</v>
      </c>
      <c r="H41" s="1">
        <v>1.002</v>
      </c>
      <c r="I41" s="1">
        <v>0.60499999999999998</v>
      </c>
      <c r="J41" s="1">
        <f t="shared" si="0"/>
        <v>0.91131712394414444</v>
      </c>
      <c r="K41" s="1">
        <f t="shared" si="1"/>
        <v>0.6638742805375849</v>
      </c>
    </row>
    <row r="42" spans="1:11" x14ac:dyDescent="0.35">
      <c r="A42">
        <v>20230901</v>
      </c>
      <c r="B42" t="s">
        <v>16</v>
      </c>
      <c r="C42" t="s">
        <v>17</v>
      </c>
      <c r="D42">
        <v>1</v>
      </c>
      <c r="E42" t="s">
        <v>11</v>
      </c>
      <c r="F42" s="1">
        <v>4.6500000000000004</v>
      </c>
      <c r="G42" s="1">
        <v>0.45</v>
      </c>
      <c r="H42" s="1">
        <v>0.97699999999999998</v>
      </c>
      <c r="I42" s="1">
        <v>0.55100000000000005</v>
      </c>
      <c r="J42" s="1">
        <f t="shared" si="0"/>
        <v>0.73955054560912237</v>
      </c>
      <c r="K42" s="1">
        <f t="shared" si="1"/>
        <v>0.74504711445540905</v>
      </c>
    </row>
    <row r="43" spans="1:11" x14ac:dyDescent="0.35">
      <c r="A43">
        <v>20230901</v>
      </c>
      <c r="B43" t="s">
        <v>16</v>
      </c>
      <c r="C43" t="s">
        <v>17</v>
      </c>
      <c r="D43">
        <v>2</v>
      </c>
      <c r="E43" t="s">
        <v>11</v>
      </c>
      <c r="F43" s="1">
        <v>4.26</v>
      </c>
      <c r="G43" s="1">
        <v>0.52</v>
      </c>
      <c r="H43" s="1">
        <v>1.089</v>
      </c>
      <c r="I43" s="1">
        <v>0.67800000000000005</v>
      </c>
      <c r="J43" s="1">
        <f t="shared" si="0"/>
        <v>0.90470328601017425</v>
      </c>
      <c r="K43" s="1">
        <f t="shared" si="1"/>
        <v>0.74941697513893557</v>
      </c>
    </row>
    <row r="44" spans="1:11" x14ac:dyDescent="0.35">
      <c r="A44">
        <v>20230901</v>
      </c>
      <c r="B44" t="s">
        <v>16</v>
      </c>
      <c r="C44" t="s">
        <v>17</v>
      </c>
      <c r="D44">
        <v>3</v>
      </c>
      <c r="E44" t="s">
        <v>11</v>
      </c>
      <c r="F44" s="1">
        <v>5.55</v>
      </c>
      <c r="G44" s="1">
        <v>0.37</v>
      </c>
      <c r="H44" s="1">
        <v>1.03</v>
      </c>
      <c r="I44" s="1">
        <v>0.71599999999999997</v>
      </c>
      <c r="J44" s="1">
        <f t="shared" si="0"/>
        <v>0.59674159755856415</v>
      </c>
      <c r="K44" s="1">
        <f t="shared" si="1"/>
        <v>1.1998493199223166</v>
      </c>
    </row>
    <row r="45" spans="1:11" x14ac:dyDescent="0.35">
      <c r="A45">
        <v>20230901</v>
      </c>
      <c r="B45" t="s">
        <v>16</v>
      </c>
      <c r="C45" t="s">
        <v>17</v>
      </c>
      <c r="D45">
        <v>4</v>
      </c>
      <c r="E45" t="s">
        <v>11</v>
      </c>
      <c r="F45" s="1">
        <v>6.1</v>
      </c>
      <c r="G45" s="1">
        <v>0.45</v>
      </c>
      <c r="H45" s="1">
        <v>1.802</v>
      </c>
      <c r="I45" s="1">
        <v>1.069</v>
      </c>
      <c r="J45" s="1">
        <f t="shared" ref="J45:J47" si="2">(PI()/4)*(G45^2*F45)</f>
        <v>0.97016308133669793</v>
      </c>
      <c r="K45" s="1">
        <f t="shared" ref="K45:K47" si="3">I45/J45</f>
        <v>1.1018766025678113</v>
      </c>
    </row>
    <row r="46" spans="1:11" x14ac:dyDescent="0.35">
      <c r="A46">
        <v>20230901</v>
      </c>
      <c r="B46" t="s">
        <v>16</v>
      </c>
      <c r="C46" t="s">
        <v>17</v>
      </c>
      <c r="D46">
        <v>5</v>
      </c>
      <c r="E46" t="s">
        <v>11</v>
      </c>
      <c r="F46" s="1">
        <v>4.0999999999999996</v>
      </c>
      <c r="G46" s="1">
        <v>0.45</v>
      </c>
      <c r="H46" s="1">
        <v>1.121</v>
      </c>
      <c r="I46" s="1">
        <v>0.68600000000000005</v>
      </c>
      <c r="J46" s="1">
        <f t="shared" si="2"/>
        <v>0.6520768251607314</v>
      </c>
      <c r="K46" s="1">
        <f t="shared" si="3"/>
        <v>1.0520232793596167</v>
      </c>
    </row>
    <row r="47" spans="1:11" x14ac:dyDescent="0.35">
      <c r="A47">
        <v>20230901</v>
      </c>
      <c r="B47" t="s">
        <v>16</v>
      </c>
      <c r="C47" t="s">
        <v>17</v>
      </c>
      <c r="D47">
        <v>6</v>
      </c>
      <c r="E47" t="s">
        <v>11</v>
      </c>
      <c r="F47" s="1">
        <v>5.49</v>
      </c>
      <c r="G47" s="1">
        <v>0.3</v>
      </c>
      <c r="H47" s="1">
        <v>0.86</v>
      </c>
      <c r="I47" s="1">
        <v>0.53100000000000003</v>
      </c>
      <c r="J47" s="1">
        <f t="shared" si="2"/>
        <v>0.38806523253467917</v>
      </c>
      <c r="K47" s="1">
        <f t="shared" si="3"/>
        <v>1.3683266509904302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BC3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DE JESUS LOPEZ CASTRO</dc:creator>
  <cp:lastModifiedBy>GUILLERMO DE JESUS LOPEZ CASTRO</cp:lastModifiedBy>
  <dcterms:created xsi:type="dcterms:W3CDTF">2023-09-18T15:20:43Z</dcterms:created>
  <dcterms:modified xsi:type="dcterms:W3CDTF">2024-02-07T14:24:35Z</dcterms:modified>
</cp:coreProperties>
</file>